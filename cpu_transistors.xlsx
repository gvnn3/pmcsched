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nsistor Counts" sheetId="1" state="visible" r:id="rId1"/>
    <sheet xmlns:r="http://schemas.openxmlformats.org/officeDocument/2006/relationships" name="Cache Share (6T model)" sheetId="2" state="visible" r:id="rId2"/>
    <sheet xmlns:r="http://schemas.openxmlformats.org/officeDocument/2006/relationships" name="Documented Splits" sheetId="3" state="visible" r:id="rId3"/>
    <sheet xmlns:r="http://schemas.openxmlformats.org/officeDocument/2006/relationships" name="Notes &amp; Sources" sheetId="4" state="visible" r:id="rId4"/>
    <sheet xmlns:r="http://schemas.openxmlformats.org/officeDocument/2006/relationships" name="Chart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A44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555555"/>
      <sz val="9"/>
    </font>
    <font>
      <name val="Arial"/>
      <charset val="1"/>
      <family val="0"/>
      <b val="1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1F2A44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165" fontId="9" fillId="0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165" fontId="9" fillId="0" borderId="1" applyAlignment="1" pivotButton="0" quotePrefix="0" xfId="0">
      <alignment horizontal="general" vertical="bottom"/>
    </xf>
    <xf numFmtId="165" fontId="9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82296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</row>
      <rowOff>0</rowOff>
    </from>
    <ext cx="82296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62</row>
      <rowOff>0</rowOff>
    </from>
    <ext cx="82296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5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32" customWidth="1" style="23" min="2" max="2"/>
    <col width="12" customWidth="1" style="23" min="3" max="3"/>
    <col width="7" customWidth="1" style="23" min="4" max="4"/>
    <col width="12" customWidth="1" style="23" min="5" max="5"/>
    <col width="16" customWidth="1" style="23" min="6" max="6"/>
    <col width="12" customWidth="1" style="23" min="7" max="8"/>
    <col width="14" customWidth="1" style="23" min="9" max="9"/>
    <col width="16" customWidth="1" style="23" min="10" max="10"/>
    <col width="54" customWidth="1" style="23" min="11" max="11"/>
  </cols>
  <sheetData>
    <row r="1" ht="17.35" customHeight="1" s="24">
      <c r="A1" s="25" t="inlineStr">
        <is>
          <t>CPU Transistor Counts by Function (proxy) - Intel, Arm &amp; AMD, 1989-present</t>
        </is>
      </c>
    </row>
    <row r="2" ht="15" customHeight="1" s="24">
      <c r="A2" s="26" t="inlineStr">
        <is>
          <t>Yellow = estimated (no official figure). Density &amp; cache columns computed by formula. Chiplet parts: see per-CCD rows for clean per-die data.</t>
        </is>
      </c>
    </row>
    <row r="4" ht="23.85" customHeight="1" s="24">
      <c r="A4" s="27" t="inlineStr">
        <is>
          <t>Vendor</t>
        </is>
      </c>
      <c r="B4" s="27" t="inlineStr">
        <is>
          <t>Chip</t>
        </is>
      </c>
      <c r="C4" s="27" t="inlineStr">
        <is>
          <t>ISA</t>
        </is>
      </c>
      <c r="D4" s="27" t="inlineStr">
        <is>
          <t>Year</t>
        </is>
      </c>
      <c r="E4" s="27" t="inlineStr">
        <is>
          <t>Process node</t>
        </is>
      </c>
      <c r="F4" s="27" t="inlineStr">
        <is>
          <t>Transistors (millions)</t>
        </is>
      </c>
      <c r="G4" s="27" t="inlineStr">
        <is>
          <t>Count basis</t>
        </is>
      </c>
      <c r="H4" s="27" t="inlineStr">
        <is>
          <t>Die area (mm2)</t>
        </is>
      </c>
      <c r="I4" s="27" t="inlineStr">
        <is>
          <t>Density (Mtr/mm2)</t>
        </is>
      </c>
      <c r="J4" s="27" t="inlineStr">
        <is>
          <t>Total on-die cache (KB)</t>
        </is>
      </c>
      <c r="K4" s="27" t="inlineStr">
        <is>
          <t>Notes</t>
        </is>
      </c>
    </row>
    <row r="5" ht="15" customHeight="1" s="24">
      <c r="A5" s="28" t="inlineStr">
        <is>
          <t>Intel</t>
        </is>
      </c>
      <c r="B5" s="28" t="inlineStr">
        <is>
          <t>i486 DX</t>
        </is>
      </c>
      <c r="C5" s="28" t="inlineStr">
        <is>
          <t>x86</t>
        </is>
      </c>
      <c r="D5" s="29" t="inlineStr">
        <is>
          <t>1989</t>
        </is>
      </c>
      <c r="E5" s="29" t="inlineStr">
        <is>
          <t>1000</t>
        </is>
      </c>
      <c r="F5" s="30" t="n">
        <v>1.18</v>
      </c>
      <c r="G5" s="29" t="inlineStr">
        <is>
          <t>Official</t>
        </is>
      </c>
      <c r="H5" s="31" t="n">
        <v>81</v>
      </c>
      <c r="I5" s="31">
        <f>IF(AND(ISNUMBER(F5),ISNUMBER(H5),H5&gt;0),F5/H5,"")</f>
        <v/>
      </c>
      <c r="J5" s="30" t="n">
        <v>8</v>
      </c>
      <c r="K5" s="32" t="inlineStr">
        <is>
          <t>Baseline; 8 KB unified L1</t>
        </is>
      </c>
    </row>
    <row r="6" ht="15" customHeight="1" s="24">
      <c r="A6" s="28" t="inlineStr">
        <is>
          <t>Intel</t>
        </is>
      </c>
      <c r="B6" s="28" t="inlineStr">
        <is>
          <t>Pentium</t>
        </is>
      </c>
      <c r="C6" s="28" t="inlineStr">
        <is>
          <t>x86</t>
        </is>
      </c>
      <c r="D6" s="29" t="inlineStr">
        <is>
          <t>1993</t>
        </is>
      </c>
      <c r="E6" s="29" t="inlineStr">
        <is>
          <t>800</t>
        </is>
      </c>
      <c r="F6" s="30" t="n">
        <v>3.1</v>
      </c>
      <c r="G6" s="29" t="inlineStr">
        <is>
          <t>Official</t>
        </is>
      </c>
      <c r="H6" s="31" t="n">
        <v>294</v>
      </c>
      <c r="I6" s="31">
        <f>IF(AND(ISNUMBER(F6),ISNUMBER(H6),H6&gt;0),F6/H6,"")</f>
        <v/>
      </c>
      <c r="J6" s="30" t="n">
        <v>16</v>
      </c>
      <c r="K6" s="32" t="inlineStr">
        <is>
          <t>8 KB I + 8 KB D L1</t>
        </is>
      </c>
    </row>
    <row r="7" ht="15" customHeight="1" s="24">
      <c r="A7" s="28" t="inlineStr">
        <is>
          <t>Intel</t>
        </is>
      </c>
      <c r="B7" s="28" t="inlineStr">
        <is>
          <t>Pentium Pro</t>
        </is>
      </c>
      <c r="C7" s="28" t="inlineStr">
        <is>
          <t>x86</t>
        </is>
      </c>
      <c r="D7" s="29" t="inlineStr">
        <is>
          <t>1995</t>
        </is>
      </c>
      <c r="E7" s="29" t="inlineStr">
        <is>
          <t>500</t>
        </is>
      </c>
      <c r="F7" s="30" t="n">
        <v>5.5</v>
      </c>
      <c r="G7" s="29" t="inlineStr">
        <is>
          <t>Official</t>
        </is>
      </c>
      <c r="H7" s="31" t="n">
        <v>307</v>
      </c>
      <c r="I7" s="31">
        <f>IF(AND(ISNUMBER(F7),ISNUMBER(H7),H7&gt;0),F7/H7,"")</f>
        <v/>
      </c>
      <c r="J7" s="30" t="n">
        <v>16</v>
      </c>
      <c r="K7" s="32" t="inlineStr">
        <is>
          <t>L2 on separate package die</t>
        </is>
      </c>
    </row>
    <row r="8" ht="15" customHeight="1" s="24">
      <c r="A8" s="28" t="inlineStr">
        <is>
          <t>Intel</t>
        </is>
      </c>
      <c r="B8" s="28" t="inlineStr">
        <is>
          <t>Pentium II</t>
        </is>
      </c>
      <c r="C8" s="28" t="inlineStr">
        <is>
          <t>x86</t>
        </is>
      </c>
      <c r="D8" s="29" t="inlineStr">
        <is>
          <t>1997</t>
        </is>
      </c>
      <c r="E8" s="29" t="inlineStr">
        <is>
          <t>350</t>
        </is>
      </c>
      <c r="F8" s="30" t="n">
        <v>7.5</v>
      </c>
      <c r="G8" s="29" t="inlineStr">
        <is>
          <t>Official</t>
        </is>
      </c>
      <c r="H8" s="31" t="n">
        <v>203</v>
      </c>
      <c r="I8" s="31">
        <f>IF(AND(ISNUMBER(F8),ISNUMBER(H8),H8&gt;0),F8/H8,"")</f>
        <v/>
      </c>
      <c r="J8" s="30" t="n">
        <v>32</v>
      </c>
      <c r="K8" s="32" t="inlineStr">
        <is>
          <t>L2 off-die on cartridge</t>
        </is>
      </c>
    </row>
    <row r="9" ht="15" customHeight="1" s="24">
      <c r="A9" s="28" t="inlineStr">
        <is>
          <t>Intel</t>
        </is>
      </c>
      <c r="B9" s="28" t="inlineStr">
        <is>
          <t>Pentium III (Coppermine)</t>
        </is>
      </c>
      <c r="C9" s="28" t="inlineStr">
        <is>
          <t>x86</t>
        </is>
      </c>
      <c r="D9" s="29" t="inlineStr">
        <is>
          <t>2000</t>
        </is>
      </c>
      <c r="E9" s="29" t="inlineStr">
        <is>
          <t>180</t>
        </is>
      </c>
      <c r="F9" s="30" t="n">
        <v>28</v>
      </c>
      <c r="G9" s="29" t="inlineStr">
        <is>
          <t>Official</t>
        </is>
      </c>
      <c r="H9" s="31" t="n">
        <v>106</v>
      </c>
      <c r="I9" s="31">
        <f>IF(AND(ISNUMBER(F9),ISNUMBER(H9),H9&gt;0),F9/H9,"")</f>
        <v/>
      </c>
      <c r="J9" s="30" t="n">
        <v>288</v>
      </c>
      <c r="K9" s="32" t="inlineStr">
        <is>
          <t>First on-die 256 KB L2</t>
        </is>
      </c>
    </row>
    <row r="10" ht="15" customHeight="1" s="24">
      <c r="A10" s="28" t="inlineStr">
        <is>
          <t>Intel</t>
        </is>
      </c>
      <c r="B10" s="28" t="inlineStr">
        <is>
          <t>Pentium 4 (Willamette)</t>
        </is>
      </c>
      <c r="C10" s="28" t="inlineStr">
        <is>
          <t>x86</t>
        </is>
      </c>
      <c r="D10" s="29" t="inlineStr">
        <is>
          <t>2000</t>
        </is>
      </c>
      <c r="E10" s="29" t="inlineStr">
        <is>
          <t>180</t>
        </is>
      </c>
      <c r="F10" s="30" t="n">
        <v>42</v>
      </c>
      <c r="G10" s="29" t="inlineStr">
        <is>
          <t>Official</t>
        </is>
      </c>
      <c r="H10" s="31" t="n">
        <v>217</v>
      </c>
      <c r="I10" s="31">
        <f>IF(AND(ISNUMBER(F10),ISNUMBER(H10),H10&gt;0),F10/H10,"")</f>
        <v/>
      </c>
      <c r="J10" s="30" t="n">
        <v>264</v>
      </c>
      <c r="K10" s="32" t="inlineStr">
        <is>
          <t>8 KB L1D + 256 KB L2 (+trace cache)</t>
        </is>
      </c>
    </row>
    <row r="11" ht="15" customHeight="1" s="24">
      <c r="A11" s="28" t="inlineStr">
        <is>
          <t>Intel</t>
        </is>
      </c>
      <c r="B11" s="28" t="inlineStr">
        <is>
          <t>Pentium 4 (Prescott)</t>
        </is>
      </c>
      <c r="C11" s="28" t="inlineStr">
        <is>
          <t>x86</t>
        </is>
      </c>
      <c r="D11" s="29" t="inlineStr">
        <is>
          <t>2004</t>
        </is>
      </c>
      <c r="E11" s="29" t="inlineStr">
        <is>
          <t>90</t>
        </is>
      </c>
      <c r="F11" s="30" t="n">
        <v>125</v>
      </c>
      <c r="G11" s="29" t="inlineStr">
        <is>
          <t>Official</t>
        </is>
      </c>
      <c r="H11" s="31" t="n">
        <v>112</v>
      </c>
      <c r="I11" s="31">
        <f>IF(AND(ISNUMBER(F11),ISNUMBER(H11),H11&gt;0),F11/H11,"")</f>
        <v/>
      </c>
      <c r="J11" s="30" t="n">
        <v>1040</v>
      </c>
      <c r="K11" s="32" t="inlineStr">
        <is>
          <t>16 KB L1D + 1 MB L2</t>
        </is>
      </c>
    </row>
    <row r="12" ht="15" customHeight="1" s="24">
      <c r="A12" s="28" t="inlineStr">
        <is>
          <t>Intel</t>
        </is>
      </c>
      <c r="B12" s="28" t="inlineStr">
        <is>
          <t>Itanium 2 (Madison 9M)</t>
        </is>
      </c>
      <c r="C12" s="28" t="inlineStr">
        <is>
          <t>IA-64</t>
        </is>
      </c>
      <c r="D12" s="29" t="inlineStr">
        <is>
          <t>2004</t>
        </is>
      </c>
      <c r="E12" s="29" t="inlineStr">
        <is>
          <t>130</t>
        </is>
      </c>
      <c r="F12" s="30" t="n">
        <v>592</v>
      </c>
      <c r="G12" s="29" t="inlineStr">
        <is>
          <t>Official</t>
        </is>
      </c>
      <c r="H12" s="31" t="n">
        <v>432</v>
      </c>
      <c r="I12" s="31">
        <f>IF(AND(ISNUMBER(F12),ISNUMBER(H12),H12&gt;0),F12/H12,"")</f>
        <v/>
      </c>
      <c r="J12" s="30" t="n">
        <v>9504</v>
      </c>
      <c r="K12" s="32" t="inlineStr">
        <is>
          <t>9 MB L3 - classic cache-dominated die</t>
        </is>
      </c>
    </row>
    <row r="13" ht="15" customHeight="1" s="24">
      <c r="A13" s="28" t="inlineStr">
        <is>
          <t>Intel</t>
        </is>
      </c>
      <c r="B13" s="28" t="inlineStr">
        <is>
          <t>Core 2 Duo (Conroe)</t>
        </is>
      </c>
      <c r="C13" s="28" t="inlineStr">
        <is>
          <t>x86-64</t>
        </is>
      </c>
      <c r="D13" s="29" t="inlineStr">
        <is>
          <t>2006</t>
        </is>
      </c>
      <c r="E13" s="29" t="inlineStr">
        <is>
          <t>65</t>
        </is>
      </c>
      <c r="F13" s="30" t="n">
        <v>291</v>
      </c>
      <c r="G13" s="29" t="inlineStr">
        <is>
          <t>Official</t>
        </is>
      </c>
      <c r="H13" s="31" t="n">
        <v>143</v>
      </c>
      <c r="I13" s="31">
        <f>IF(AND(ISNUMBER(F13),ISNUMBER(H13),H13&gt;0),F13/H13,"")</f>
        <v/>
      </c>
      <c r="J13" s="30" t="n">
        <v>4224</v>
      </c>
      <c r="K13" s="32" t="inlineStr">
        <is>
          <t>4 MB shared L2</t>
        </is>
      </c>
    </row>
    <row r="14" ht="15" customHeight="1" s="24">
      <c r="A14" s="28" t="inlineStr">
        <is>
          <t>Intel</t>
        </is>
      </c>
      <c r="B14" s="28" t="inlineStr">
        <is>
          <t>Core i7 (Nehalem, quad)</t>
        </is>
      </c>
      <c r="C14" s="28" t="inlineStr">
        <is>
          <t>x86-64</t>
        </is>
      </c>
      <c r="D14" s="29" t="inlineStr">
        <is>
          <t>2008</t>
        </is>
      </c>
      <c r="E14" s="29" t="inlineStr">
        <is>
          <t>45</t>
        </is>
      </c>
      <c r="F14" s="30" t="n">
        <v>731</v>
      </c>
      <c r="G14" s="29" t="inlineStr">
        <is>
          <t>Official</t>
        </is>
      </c>
      <c r="H14" s="31" t="n">
        <v>263</v>
      </c>
      <c r="I14" s="31">
        <f>IF(AND(ISNUMBER(F14),ISNUMBER(H14),H14&gt;0),F14/H14,"")</f>
        <v/>
      </c>
      <c r="J14" s="30" t="n">
        <v>9472</v>
      </c>
      <c r="K14" s="32" t="inlineStr">
        <is>
          <t>8 MB L3 + per-core L1/L2</t>
        </is>
      </c>
    </row>
    <row r="15" ht="15" customHeight="1" s="24">
      <c r="A15" s="28" t="inlineStr">
        <is>
          <t>Intel</t>
        </is>
      </c>
      <c r="B15" s="28" t="inlineStr">
        <is>
          <t>Core i7 (Westmere, 6-core)</t>
        </is>
      </c>
      <c r="C15" s="28" t="inlineStr">
        <is>
          <t>x86-64</t>
        </is>
      </c>
      <c r="D15" s="29" t="inlineStr">
        <is>
          <t>2010</t>
        </is>
      </c>
      <c r="E15" s="29" t="inlineStr">
        <is>
          <t>32</t>
        </is>
      </c>
      <c r="F15" s="30" t="n">
        <v>1170</v>
      </c>
      <c r="G15" s="29" t="inlineStr">
        <is>
          <t>Official</t>
        </is>
      </c>
      <c r="H15" s="31" t="n">
        <v>240</v>
      </c>
      <c r="I15" s="31">
        <f>IF(AND(ISNUMBER(F15),ISNUMBER(H15),H15&gt;0),F15/H15,"")</f>
        <v/>
      </c>
      <c r="J15" s="30" t="n">
        <v>13568</v>
      </c>
      <c r="K15" s="32" t="inlineStr">
        <is>
          <t>12 MB L3</t>
        </is>
      </c>
    </row>
    <row r="16" ht="15" customHeight="1" s="24">
      <c r="A16" s="28" t="inlineStr">
        <is>
          <t>Intel</t>
        </is>
      </c>
      <c r="B16" s="28" t="inlineStr">
        <is>
          <t>Itanium (Tukwila, quad)</t>
        </is>
      </c>
      <c r="C16" s="28" t="inlineStr">
        <is>
          <t>IA-64</t>
        </is>
      </c>
      <c r="D16" s="29" t="inlineStr">
        <is>
          <t>2010</t>
        </is>
      </c>
      <c r="E16" s="29" t="inlineStr">
        <is>
          <t>65</t>
        </is>
      </c>
      <c r="F16" s="30" t="n">
        <v>2000</v>
      </c>
      <c r="G16" s="29" t="inlineStr">
        <is>
          <t>Official</t>
        </is>
      </c>
      <c r="H16" s="31" t="n">
        <v>699</v>
      </c>
      <c r="I16" s="31">
        <f>IF(AND(ISNUMBER(F16),ISNUMBER(H16),H16&gt;0),F16/H16,"")</f>
        <v/>
      </c>
      <c r="J16" s="30" t="n">
        <v>25600</v>
      </c>
      <c r="K16" s="32" t="inlineStr">
        <is>
          <t>24-30 MB L3</t>
        </is>
      </c>
    </row>
    <row r="17" ht="15" customHeight="1" s="24">
      <c r="A17" s="28" t="inlineStr">
        <is>
          <t>Intel</t>
        </is>
      </c>
      <c r="B17" s="28" t="inlineStr">
        <is>
          <t>Xeon (Nehalem-EX, 8-core)</t>
        </is>
      </c>
      <c r="C17" s="28" t="inlineStr">
        <is>
          <t>x86-64</t>
        </is>
      </c>
      <c r="D17" s="29" t="inlineStr">
        <is>
          <t>2010</t>
        </is>
      </c>
      <c r="E17" s="29" t="inlineStr">
        <is>
          <t>45</t>
        </is>
      </c>
      <c r="F17" s="30" t="n">
        <v>2300</v>
      </c>
      <c r="G17" s="29" t="inlineStr">
        <is>
          <t>Official</t>
        </is>
      </c>
      <c r="H17" s="31" t="n">
        <v>684</v>
      </c>
      <c r="I17" s="31">
        <f>IF(AND(ISNUMBER(F17),ISNUMBER(H17),H17&gt;0),F17/H17,"")</f>
        <v/>
      </c>
      <c r="J17" s="30" t="n">
        <v>25600</v>
      </c>
      <c r="K17" s="32" t="inlineStr">
        <is>
          <t>24 MB L3</t>
        </is>
      </c>
    </row>
    <row r="18" ht="15" customHeight="1" s="24">
      <c r="A18" s="28" t="inlineStr">
        <is>
          <t>Intel</t>
        </is>
      </c>
      <c r="B18" s="28" t="inlineStr">
        <is>
          <t>Core i7 (Sandy Bridge, quad)</t>
        </is>
      </c>
      <c r="C18" s="28" t="inlineStr">
        <is>
          <t>x86-64</t>
        </is>
      </c>
      <c r="D18" s="29" t="inlineStr">
        <is>
          <t>2011</t>
        </is>
      </c>
      <c r="E18" s="29" t="inlineStr">
        <is>
          <t>32</t>
        </is>
      </c>
      <c r="F18" s="30" t="n">
        <v>1160</v>
      </c>
      <c r="G18" s="29" t="inlineStr">
        <is>
          <t>Official</t>
        </is>
      </c>
      <c r="H18" s="31" t="n">
        <v>216</v>
      </c>
      <c r="I18" s="31">
        <f>IF(AND(ISNUMBER(F18),ISNUMBER(H18),H18&gt;0),F18/H18,"")</f>
        <v/>
      </c>
      <c r="J18" s="30" t="n">
        <v>9472</v>
      </c>
      <c r="K18" s="32" t="inlineStr">
        <is>
          <t>8 MB L3 + GPU</t>
        </is>
      </c>
    </row>
    <row r="19" ht="15" customHeight="1" s="24">
      <c r="A19" s="28" t="inlineStr">
        <is>
          <t>Intel</t>
        </is>
      </c>
      <c r="B19" s="28" t="inlineStr">
        <is>
          <t>Core i7 (Ivy Bridge, quad)</t>
        </is>
      </c>
      <c r="C19" s="28" t="inlineStr">
        <is>
          <t>x86-64</t>
        </is>
      </c>
      <c r="D19" s="29" t="inlineStr">
        <is>
          <t>2012</t>
        </is>
      </c>
      <c r="E19" s="29" t="inlineStr">
        <is>
          <t>22</t>
        </is>
      </c>
      <c r="F19" s="30" t="n">
        <v>1400</v>
      </c>
      <c r="G19" s="29" t="inlineStr">
        <is>
          <t>Official</t>
        </is>
      </c>
      <c r="H19" s="31" t="n">
        <v>160</v>
      </c>
      <c r="I19" s="31">
        <f>IF(AND(ISNUMBER(F19),ISNUMBER(H19),H19&gt;0),F19/H19,"")</f>
        <v/>
      </c>
      <c r="J19" s="30" t="n">
        <v>9472</v>
      </c>
      <c r="K19" s="32" t="inlineStr">
        <is>
          <t>8 MB L3 + GPU</t>
        </is>
      </c>
    </row>
    <row r="20" ht="15" customHeight="1" s="24">
      <c r="A20" s="28" t="inlineStr">
        <is>
          <t>Intel</t>
        </is>
      </c>
      <c r="B20" s="28" t="inlineStr">
        <is>
          <t>Itanium (Poulson, 8-core)</t>
        </is>
      </c>
      <c r="C20" s="28" t="inlineStr">
        <is>
          <t>IA-64</t>
        </is>
      </c>
      <c r="D20" s="29" t="inlineStr">
        <is>
          <t>2012</t>
        </is>
      </c>
      <c r="E20" s="29" t="inlineStr">
        <is>
          <t>32</t>
        </is>
      </c>
      <c r="F20" s="30" t="n">
        <v>3100</v>
      </c>
      <c r="G20" s="29" t="inlineStr">
        <is>
          <t>Official</t>
        </is>
      </c>
      <c r="H20" s="31" t="n">
        <v>544</v>
      </c>
      <c r="I20" s="31">
        <f>IF(AND(ISNUMBER(F20),ISNUMBER(H20),H20&gt;0),F20/H20,"")</f>
        <v/>
      </c>
      <c r="J20" s="30" t="n">
        <v>32768</v>
      </c>
      <c r="K20" s="32" t="inlineStr">
        <is>
          <t>32 MB L3</t>
        </is>
      </c>
    </row>
    <row r="21" ht="15" customHeight="1" s="24">
      <c r="A21" s="28" t="inlineStr">
        <is>
          <t>Intel</t>
        </is>
      </c>
      <c r="B21" s="28" t="inlineStr">
        <is>
          <t>Xeon Phi (62-core)</t>
        </is>
      </c>
      <c r="C21" s="28" t="inlineStr">
        <is>
          <t>x86-64</t>
        </is>
      </c>
      <c r="D21" s="29" t="inlineStr">
        <is>
          <t>2012</t>
        </is>
      </c>
      <c r="E21" s="29" t="inlineStr">
        <is>
          <t>22</t>
        </is>
      </c>
      <c r="F21" s="30" t="n">
        <v>5000</v>
      </c>
      <c r="G21" s="29" t="inlineStr">
        <is>
          <t>Official</t>
        </is>
      </c>
      <c r="H21" s="31" t="n">
        <v>720</v>
      </c>
      <c r="I21" s="31">
        <f>IF(AND(ISNUMBER(F21),ISNUMBER(H21),H21&gt;0),F21/H21,"")</f>
        <v/>
      </c>
      <c r="J21" s="30" t="n">
        <v>32768</v>
      </c>
      <c r="K21" s="32" t="inlineStr">
        <is>
          <t>Many-core; large aggregate cache</t>
        </is>
      </c>
    </row>
    <row r="22" ht="15" customHeight="1" s="24">
      <c r="A22" s="28" t="inlineStr">
        <is>
          <t>Intel</t>
        </is>
      </c>
      <c r="B22" s="28" t="inlineStr">
        <is>
          <t>Core i7 (Haswell, quad)</t>
        </is>
      </c>
      <c r="C22" s="28" t="inlineStr">
        <is>
          <t>x86-64</t>
        </is>
      </c>
      <c r="D22" s="29" t="inlineStr">
        <is>
          <t>2013</t>
        </is>
      </c>
      <c r="E22" s="29" t="inlineStr">
        <is>
          <t>22</t>
        </is>
      </c>
      <c r="F22" s="30" t="n">
        <v>1400</v>
      </c>
      <c r="G22" s="29" t="inlineStr">
        <is>
          <t>Official</t>
        </is>
      </c>
      <c r="H22" s="31" t="n">
        <v>177</v>
      </c>
      <c r="I22" s="31">
        <f>IF(AND(ISNUMBER(F22),ISNUMBER(H22),H22&gt;0),F22/H22,"")</f>
        <v/>
      </c>
      <c r="J22" s="30" t="n">
        <v>9472</v>
      </c>
      <c r="K22" s="32" t="inlineStr">
        <is>
          <t>8 MB L3 + GPU</t>
        </is>
      </c>
    </row>
    <row r="23" ht="15" customHeight="1" s="24">
      <c r="A23" s="33" t="inlineStr">
        <is>
          <t>Intel</t>
        </is>
      </c>
      <c r="B23" s="33" t="inlineStr">
        <is>
          <t>Core i7 (Skylake, quad)</t>
        </is>
      </c>
      <c r="C23" s="33" t="inlineStr">
        <is>
          <t>x86-64</t>
        </is>
      </c>
      <c r="D23" s="34" t="inlineStr">
        <is>
          <t>2015</t>
        </is>
      </c>
      <c r="E23" s="34" t="inlineStr">
        <is>
          <t>14</t>
        </is>
      </c>
      <c r="F23" s="35" t="n">
        <v>1750</v>
      </c>
      <c r="G23" s="34" t="inlineStr">
        <is>
          <t>Estimate</t>
        </is>
      </c>
      <c r="H23" s="36" t="n">
        <v>122</v>
      </c>
      <c r="I23" s="36">
        <f>IF(AND(ISNUMBER(F23),ISNUMBER(H23),H23&gt;0),F23/H23,"")</f>
        <v/>
      </c>
      <c r="J23" s="35" t="n">
        <v>9472</v>
      </c>
      <c r="K23" s="37" t="inlineStr">
        <is>
          <t>Intel stopped official counts; die x density est.</t>
        </is>
      </c>
    </row>
    <row r="24" ht="15" customHeight="1" s="24">
      <c r="A24" s="28" t="inlineStr">
        <is>
          <t>Intel</t>
        </is>
      </c>
      <c r="B24" s="28" t="inlineStr">
        <is>
          <t>Xeon (Broadwell-EP, 22-core)</t>
        </is>
      </c>
      <c r="C24" s="28" t="inlineStr">
        <is>
          <t>x86-64</t>
        </is>
      </c>
      <c r="D24" s="29" t="inlineStr">
        <is>
          <t>2016</t>
        </is>
      </c>
      <c r="E24" s="29" t="inlineStr">
        <is>
          <t>14</t>
        </is>
      </c>
      <c r="F24" s="30" t="n">
        <v>7200</v>
      </c>
      <c r="G24" s="29" t="inlineStr">
        <is>
          <t>Official</t>
        </is>
      </c>
      <c r="H24" s="31" t="n">
        <v>456</v>
      </c>
      <c r="I24" s="31">
        <f>IF(AND(ISNUMBER(F24),ISNUMBER(H24),H24&gt;0),F24/H24,"")</f>
        <v/>
      </c>
      <c r="J24" s="30" t="n">
        <v>63360</v>
      </c>
      <c r="K24" s="32" t="inlineStr">
        <is>
          <t>55 MB L3; largest official Intel count</t>
        </is>
      </c>
    </row>
    <row r="25" ht="15" customHeight="1" s="24">
      <c r="A25" s="33" t="inlineStr">
        <is>
          <t>Intel</t>
        </is>
      </c>
      <c r="B25" s="33" t="inlineStr">
        <is>
          <t>Core i9-13900K (Raptor Lake)</t>
        </is>
      </c>
      <c r="C25" s="33" t="inlineStr">
        <is>
          <t>x86-64</t>
        </is>
      </c>
      <c r="D25" s="34" t="inlineStr">
        <is>
          <t>2022</t>
        </is>
      </c>
      <c r="E25" s="34" t="inlineStr">
        <is>
          <t>Intel 7</t>
        </is>
      </c>
      <c r="F25" s="35" t="n">
        <v>25900</v>
      </c>
      <c r="G25" s="34" t="inlineStr">
        <is>
          <t>Estimate</t>
        </is>
      </c>
      <c r="H25" s="36" t="n">
        <v>257</v>
      </c>
      <c r="I25" s="36">
        <f>IF(AND(ISNUMBER(F25),ISNUMBER(H25),H25&gt;0),F25/H25,"")</f>
        <v/>
      </c>
      <c r="J25" s="35" t="n">
        <v>38912</v>
      </c>
      <c r="K25" s="37" t="inlineStr">
        <is>
          <t>Estimate: 257 mm2 x ~100.8 Mtr/mm2 (incl. large iGPU)</t>
        </is>
      </c>
    </row>
    <row r="26" ht="15" customHeight="1" s="24">
      <c r="A26" s="28" t="inlineStr">
        <is>
          <t>Apple/Arm</t>
        </is>
      </c>
      <c r="B26" s="28" t="inlineStr">
        <is>
          <t>A7</t>
        </is>
      </c>
      <c r="C26" s="28" t="inlineStr">
        <is>
          <t>ARMv8-A</t>
        </is>
      </c>
      <c r="D26" s="29" t="inlineStr">
        <is>
          <t>2013</t>
        </is>
      </c>
      <c r="E26" s="29" t="inlineStr">
        <is>
          <t>28</t>
        </is>
      </c>
      <c r="F26" s="30" t="n">
        <v>1000</v>
      </c>
      <c r="G26" s="29" t="inlineStr">
        <is>
          <t>Official</t>
        </is>
      </c>
      <c r="H26" s="31" t="n">
        <v>102</v>
      </c>
      <c r="I26" s="31">
        <f>IF(AND(ISNUMBER(F26),ISNUMBER(H26),H26&gt;0),F26/H26,"")</f>
        <v/>
      </c>
      <c r="J26" s="30" t="n">
        <v>5248</v>
      </c>
      <c r="K26" s="32" t="inlineStr">
        <is>
          <t>First 64-bit Apple SoC; 4 MB L3</t>
        </is>
      </c>
    </row>
    <row r="27" ht="15" customHeight="1" s="24">
      <c r="A27" s="28" t="inlineStr">
        <is>
          <t>Apple/Arm</t>
        </is>
      </c>
      <c r="B27" s="28" t="inlineStr">
        <is>
          <t>A8</t>
        </is>
      </c>
      <c r="C27" s="28" t="inlineStr">
        <is>
          <t>ARMv8-A</t>
        </is>
      </c>
      <c r="D27" s="29" t="inlineStr">
        <is>
          <t>2014</t>
        </is>
      </c>
      <c r="E27" s="29" t="inlineStr">
        <is>
          <t>20</t>
        </is>
      </c>
      <c r="F27" s="30" t="n">
        <v>2000</v>
      </c>
      <c r="G27" s="29" t="inlineStr">
        <is>
          <t>Official</t>
        </is>
      </c>
      <c r="H27" s="31" t="n">
        <v>89</v>
      </c>
      <c r="I27" s="31">
        <f>IF(AND(ISNUMBER(F27),ISNUMBER(H27),H27&gt;0),F27/H27,"")</f>
        <v/>
      </c>
      <c r="J27" s="28" t="n"/>
      <c r="K27" s="32" t="inlineStr">
        <is>
          <t>Cache config not cleanly published</t>
        </is>
      </c>
    </row>
    <row r="28" ht="15" customHeight="1" s="24">
      <c r="A28" s="28" t="inlineStr">
        <is>
          <t>Apple/Arm</t>
        </is>
      </c>
      <c r="B28" s="28" t="inlineStr">
        <is>
          <t>A8X</t>
        </is>
      </c>
      <c r="C28" s="28" t="inlineStr">
        <is>
          <t>ARMv8-A</t>
        </is>
      </c>
      <c r="D28" s="29" t="inlineStr">
        <is>
          <t>2014</t>
        </is>
      </c>
      <c r="E28" s="29" t="inlineStr">
        <is>
          <t>20</t>
        </is>
      </c>
      <c r="F28" s="30" t="n">
        <v>3000</v>
      </c>
      <c r="G28" s="29" t="inlineStr">
        <is>
          <t>Official</t>
        </is>
      </c>
      <c r="H28" s="31" t="n">
        <v>128</v>
      </c>
      <c r="I28" s="31">
        <f>IF(AND(ISNUMBER(F28),ISNUMBER(H28),H28&gt;0),F28/H28,"")</f>
        <v/>
      </c>
      <c r="J28" s="28" t="n"/>
      <c r="K28" s="32" t="n"/>
    </row>
    <row r="29" ht="15" customHeight="1" s="24">
      <c r="A29" s="33" t="inlineStr">
        <is>
          <t>Apple/Arm</t>
        </is>
      </c>
      <c r="B29" s="33" t="inlineStr">
        <is>
          <t>A9</t>
        </is>
      </c>
      <c r="C29" s="33" t="inlineStr">
        <is>
          <t>ARMv8-A</t>
        </is>
      </c>
      <c r="D29" s="34" t="inlineStr">
        <is>
          <t>2015</t>
        </is>
      </c>
      <c r="E29" s="34" t="inlineStr">
        <is>
          <t>14/16</t>
        </is>
      </c>
      <c r="F29" s="35" t="n">
        <v>2000</v>
      </c>
      <c r="G29" s="34" t="inlineStr">
        <is>
          <t>Estimate</t>
        </is>
      </c>
      <c r="H29" s="36" t="n">
        <v>96</v>
      </c>
      <c r="I29" s="36">
        <f>IF(AND(ISNUMBER(F29),ISNUMBER(H29),H29&gt;0),F29/H29,"")</f>
        <v/>
      </c>
      <c r="J29" s="33" t="n"/>
      <c r="K29" s="37" t="inlineStr">
        <is>
          <t>"over 2 billion" - approximate</t>
        </is>
      </c>
    </row>
    <row r="30" ht="15" customHeight="1" s="24">
      <c r="A30" s="33" t="inlineStr">
        <is>
          <t>Apple/Arm</t>
        </is>
      </c>
      <c r="B30" s="33" t="inlineStr">
        <is>
          <t>A9X</t>
        </is>
      </c>
      <c r="C30" s="33" t="inlineStr">
        <is>
          <t>ARMv8-A</t>
        </is>
      </c>
      <c r="D30" s="34" t="inlineStr">
        <is>
          <t>2015</t>
        </is>
      </c>
      <c r="E30" s="34" t="inlineStr">
        <is>
          <t>16</t>
        </is>
      </c>
      <c r="F30" s="35" t="n">
        <v>3300</v>
      </c>
      <c r="G30" s="34" t="inlineStr">
        <is>
          <t>Estimate</t>
        </is>
      </c>
      <c r="H30" s="36" t="n">
        <v>147</v>
      </c>
      <c r="I30" s="36">
        <f>IF(AND(ISNUMBER(F30),ISNUMBER(H30),H30&gt;0),F30/H30,"")</f>
        <v/>
      </c>
      <c r="J30" s="33" t="n"/>
      <c r="K30" s="37" t="n"/>
    </row>
    <row r="31" ht="15" customHeight="1" s="24">
      <c r="A31" s="28" t="inlineStr">
        <is>
          <t>Apple/Arm</t>
        </is>
      </c>
      <c r="B31" s="28" t="inlineStr">
        <is>
          <t>A10 Fusion</t>
        </is>
      </c>
      <c r="C31" s="28" t="inlineStr">
        <is>
          <t>ARMv8-A</t>
        </is>
      </c>
      <c r="D31" s="29" t="inlineStr">
        <is>
          <t>2016</t>
        </is>
      </c>
      <c r="E31" s="29" t="inlineStr">
        <is>
          <t>16</t>
        </is>
      </c>
      <c r="F31" s="30" t="n">
        <v>3300</v>
      </c>
      <c r="G31" s="29" t="inlineStr">
        <is>
          <t>Official</t>
        </is>
      </c>
      <c r="H31" s="31" t="n">
        <v>125</v>
      </c>
      <c r="I31" s="31">
        <f>IF(AND(ISNUMBER(F31),ISNUMBER(H31),H31&gt;0),F31/H31,"")</f>
        <v/>
      </c>
      <c r="J31" s="28" t="n"/>
      <c r="K31" s="32" t="n"/>
    </row>
    <row r="32" ht="15" customHeight="1" s="24">
      <c r="A32" s="28" t="inlineStr">
        <is>
          <t>Apple/Arm</t>
        </is>
      </c>
      <c r="B32" s="28" t="inlineStr">
        <is>
          <t>A11 Bionic</t>
        </is>
      </c>
      <c r="C32" s="28" t="inlineStr">
        <is>
          <t>ARMv8-A</t>
        </is>
      </c>
      <c r="D32" s="29" t="inlineStr">
        <is>
          <t>2017</t>
        </is>
      </c>
      <c r="E32" s="29" t="inlineStr">
        <is>
          <t>10</t>
        </is>
      </c>
      <c r="F32" s="30" t="n">
        <v>4300</v>
      </c>
      <c r="G32" s="29" t="inlineStr">
        <is>
          <t>Official</t>
        </is>
      </c>
      <c r="H32" s="31" t="n">
        <v>87.66</v>
      </c>
      <c r="I32" s="31">
        <f>IF(AND(ISNUMBER(F32),ISNUMBER(H32),H32&gt;0),F32/H32,"")</f>
        <v/>
      </c>
      <c r="J32" s="28" t="n"/>
      <c r="K32" s="32" t="inlineStr">
        <is>
          <t>First Neural Engine</t>
        </is>
      </c>
    </row>
    <row r="33" ht="15" customHeight="1" s="24">
      <c r="A33" s="28" t="inlineStr">
        <is>
          <t>Apple/Arm</t>
        </is>
      </c>
      <c r="B33" s="28" t="inlineStr">
        <is>
          <t>A12 Bionic</t>
        </is>
      </c>
      <c r="C33" s="28" t="inlineStr">
        <is>
          <t>ARMv8.3-A</t>
        </is>
      </c>
      <c r="D33" s="29" t="inlineStr">
        <is>
          <t>2018</t>
        </is>
      </c>
      <c r="E33" s="29" t="inlineStr">
        <is>
          <t>7</t>
        </is>
      </c>
      <c r="F33" s="30" t="n">
        <v>6900</v>
      </c>
      <c r="G33" s="29" t="inlineStr">
        <is>
          <t>Official</t>
        </is>
      </c>
      <c r="H33" s="31" t="n">
        <v>83.27</v>
      </c>
      <c r="I33" s="31">
        <f>IF(AND(ISNUMBER(F33),ISNUMBER(H33),H33&gt;0),F33/H33,"")</f>
        <v/>
      </c>
      <c r="J33" s="28" t="n"/>
      <c r="K33" s="32" t="n"/>
    </row>
    <row r="34" ht="15" customHeight="1" s="24">
      <c r="A34" s="28" t="inlineStr">
        <is>
          <t>Apple/Arm</t>
        </is>
      </c>
      <c r="B34" s="28" t="inlineStr">
        <is>
          <t>A13 Bionic</t>
        </is>
      </c>
      <c r="C34" s="28" t="inlineStr">
        <is>
          <t>ARMv8.4-A</t>
        </is>
      </c>
      <c r="D34" s="29" t="inlineStr">
        <is>
          <t>2019</t>
        </is>
      </c>
      <c r="E34" s="29" t="inlineStr">
        <is>
          <t>7</t>
        </is>
      </c>
      <c r="F34" s="30" t="n">
        <v>8500</v>
      </c>
      <c r="G34" s="29" t="inlineStr">
        <is>
          <t>Official</t>
        </is>
      </c>
      <c r="H34" s="31" t="n">
        <v>98.48</v>
      </c>
      <c r="I34" s="31">
        <f>IF(AND(ISNUMBER(F34),ISNUMBER(H34),H34&gt;0),F34/H34,"")</f>
        <v/>
      </c>
      <c r="J34" s="28" t="n"/>
      <c r="K34" s="32" t="n"/>
    </row>
    <row r="35" ht="15" customHeight="1" s="24">
      <c r="A35" s="28" t="inlineStr">
        <is>
          <t>Apple/Arm</t>
        </is>
      </c>
      <c r="B35" s="28" t="inlineStr">
        <is>
          <t>A14 Bionic</t>
        </is>
      </c>
      <c r="C35" s="28" t="inlineStr">
        <is>
          <t>ARMv8.5-A</t>
        </is>
      </c>
      <c r="D35" s="29" t="inlineStr">
        <is>
          <t>2020</t>
        </is>
      </c>
      <c r="E35" s="29" t="inlineStr">
        <is>
          <t>5</t>
        </is>
      </c>
      <c r="F35" s="30" t="n">
        <v>11800</v>
      </c>
      <c r="G35" s="29" t="inlineStr">
        <is>
          <t>Official</t>
        </is>
      </c>
      <c r="H35" s="31" t="n">
        <v>88</v>
      </c>
      <c r="I35" s="31">
        <f>IF(AND(ISNUMBER(F35),ISNUMBER(H35),H35&gt;0),F35/H35,"")</f>
        <v/>
      </c>
      <c r="J35" s="28" t="n"/>
      <c r="K35" s="32" t="inlineStr">
        <is>
          <t>First 5 nm product</t>
        </is>
      </c>
    </row>
    <row r="36" ht="15" customHeight="1" s="24">
      <c r="A36" s="28" t="inlineStr">
        <is>
          <t>Apple/Arm</t>
        </is>
      </c>
      <c r="B36" s="28" t="inlineStr">
        <is>
          <t>A15 Bionic</t>
        </is>
      </c>
      <c r="C36" s="28" t="inlineStr">
        <is>
          <t>ARMv8.6-A</t>
        </is>
      </c>
      <c r="D36" s="29" t="inlineStr">
        <is>
          <t>2021</t>
        </is>
      </c>
      <c r="E36" s="29" t="inlineStr">
        <is>
          <t>5</t>
        </is>
      </c>
      <c r="F36" s="30" t="n">
        <v>15000</v>
      </c>
      <c r="G36" s="29" t="inlineStr">
        <is>
          <t>Official</t>
        </is>
      </c>
      <c r="H36" s="31" t="n">
        <v>107.68</v>
      </c>
      <c r="I36" s="31">
        <f>IF(AND(ISNUMBER(F36),ISNUMBER(H36),H36&gt;0),F36/H36,"")</f>
        <v/>
      </c>
      <c r="J36" s="28" t="n"/>
      <c r="K36" s="32" t="n"/>
    </row>
    <row r="37" ht="15" customHeight="1" s="24">
      <c r="A37" s="28" t="inlineStr">
        <is>
          <t>Apple/Arm</t>
        </is>
      </c>
      <c r="B37" s="28" t="inlineStr">
        <is>
          <t>A16 Bionic</t>
        </is>
      </c>
      <c r="C37" s="28" t="inlineStr">
        <is>
          <t>ARMv8.6-A</t>
        </is>
      </c>
      <c r="D37" s="29" t="inlineStr">
        <is>
          <t>2022</t>
        </is>
      </c>
      <c r="E37" s="29" t="inlineStr">
        <is>
          <t>4</t>
        </is>
      </c>
      <c r="F37" s="30" t="n">
        <v>16000</v>
      </c>
      <c r="G37" s="29" t="inlineStr">
        <is>
          <t>Official</t>
        </is>
      </c>
      <c r="H37" s="28" t="n"/>
      <c r="I37" s="31">
        <f>IF(AND(ISNUMBER(F37),ISNUMBER(H37),H37&gt;0),F37/H37,"")</f>
        <v/>
      </c>
      <c r="J37" s="28" t="n"/>
      <c r="K37" s="32" t="n"/>
    </row>
    <row r="38" ht="15" customHeight="1" s="24">
      <c r="A38" s="28" t="inlineStr">
        <is>
          <t>Apple/Arm</t>
        </is>
      </c>
      <c r="B38" s="28" t="inlineStr">
        <is>
          <t>A17 Pro</t>
        </is>
      </c>
      <c r="C38" s="28" t="inlineStr">
        <is>
          <t>ARMv8.6-A</t>
        </is>
      </c>
      <c r="D38" s="29" t="inlineStr">
        <is>
          <t>2023</t>
        </is>
      </c>
      <c r="E38" s="29" t="inlineStr">
        <is>
          <t>3</t>
        </is>
      </c>
      <c r="F38" s="30" t="n">
        <v>19000</v>
      </c>
      <c r="G38" s="29" t="inlineStr">
        <is>
          <t>Official</t>
        </is>
      </c>
      <c r="H38" s="31" t="n">
        <v>103</v>
      </c>
      <c r="I38" s="31">
        <f>IF(AND(ISNUMBER(F38),ISNUMBER(H38),H38&gt;0),F38/H38,"")</f>
        <v/>
      </c>
      <c r="J38" s="28" t="n"/>
      <c r="K38" s="32" t="inlineStr">
        <is>
          <t>First 3 nm mobile SoC</t>
        </is>
      </c>
    </row>
    <row r="39" ht="15" customHeight="1" s="24">
      <c r="A39" s="28" t="inlineStr">
        <is>
          <t>Apple/Arm</t>
        </is>
      </c>
      <c r="B39" s="28" t="inlineStr">
        <is>
          <t>M1</t>
        </is>
      </c>
      <c r="C39" s="28" t="inlineStr">
        <is>
          <t>ARMv8.5-A</t>
        </is>
      </c>
      <c r="D39" s="29" t="inlineStr">
        <is>
          <t>2020</t>
        </is>
      </c>
      <c r="E39" s="29" t="inlineStr">
        <is>
          <t>5</t>
        </is>
      </c>
      <c r="F39" s="30" t="n">
        <v>16000</v>
      </c>
      <c r="G39" s="29" t="inlineStr">
        <is>
          <t>Official</t>
        </is>
      </c>
      <c r="H39" s="31" t="n">
        <v>119</v>
      </c>
      <c r="I39" s="31">
        <f>IF(AND(ISNUMBER(F39),ISNUMBER(H39),H39&gt;0),F39/H39,"")</f>
        <v/>
      </c>
      <c r="J39" s="28" t="n"/>
      <c r="K39" s="32" t="inlineStr">
        <is>
          <t>First Apple silicon Mac SoC</t>
        </is>
      </c>
    </row>
    <row r="40" ht="15" customHeight="1" s="24">
      <c r="A40" s="28" t="inlineStr">
        <is>
          <t>Apple/Arm</t>
        </is>
      </c>
      <c r="B40" s="28" t="inlineStr">
        <is>
          <t>M1 Max</t>
        </is>
      </c>
      <c r="C40" s="28" t="inlineStr">
        <is>
          <t>ARMv8.5-A</t>
        </is>
      </c>
      <c r="D40" s="29" t="inlineStr">
        <is>
          <t>2021</t>
        </is>
      </c>
      <c r="E40" s="29" t="inlineStr">
        <is>
          <t>5</t>
        </is>
      </c>
      <c r="F40" s="30" t="n">
        <v>57000</v>
      </c>
      <c r="G40" s="29" t="inlineStr">
        <is>
          <t>Official</t>
        </is>
      </c>
      <c r="H40" s="31" t="n">
        <v>432</v>
      </c>
      <c r="I40" s="31">
        <f>IF(AND(ISNUMBER(F40),ISNUMBER(H40),H40&gt;0),F40/H40,"")</f>
        <v/>
      </c>
      <c r="J40" s="28" t="n"/>
      <c r="K40" s="32" t="n"/>
    </row>
    <row r="41" ht="15" customHeight="1" s="24">
      <c r="A41" s="28" t="inlineStr">
        <is>
          <t>Apple/Arm</t>
        </is>
      </c>
      <c r="B41" s="28" t="inlineStr">
        <is>
          <t>M1 Ultra</t>
        </is>
      </c>
      <c r="C41" s="28" t="inlineStr">
        <is>
          <t>ARMv8.5-A</t>
        </is>
      </c>
      <c r="D41" s="29" t="inlineStr">
        <is>
          <t>2022</t>
        </is>
      </c>
      <c r="E41" s="29" t="inlineStr">
        <is>
          <t>5</t>
        </is>
      </c>
      <c r="F41" s="30" t="n">
        <v>114000</v>
      </c>
      <c r="G41" s="29" t="inlineStr">
        <is>
          <t>Official</t>
        </is>
      </c>
      <c r="H41" s="31" t="n">
        <v>840</v>
      </c>
      <c r="I41" s="31">
        <f>IF(AND(ISNUMBER(F41),ISNUMBER(H41),H41&gt;0),F41/H41,"")</f>
        <v/>
      </c>
      <c r="J41" s="28" t="n"/>
      <c r="K41" s="32" t="inlineStr">
        <is>
          <t>Two M1 Max dies (UltraFusion)</t>
        </is>
      </c>
    </row>
    <row r="42" ht="15" customHeight="1" s="24">
      <c r="A42" s="28" t="inlineStr">
        <is>
          <t>Apple/Arm</t>
        </is>
      </c>
      <c r="B42" s="28" t="inlineStr">
        <is>
          <t>M2</t>
        </is>
      </c>
      <c r="C42" s="28" t="inlineStr">
        <is>
          <t>ARMv8.6-A</t>
        </is>
      </c>
      <c r="D42" s="29" t="inlineStr">
        <is>
          <t>2022</t>
        </is>
      </c>
      <c r="E42" s="29" t="inlineStr">
        <is>
          <t>5</t>
        </is>
      </c>
      <c r="F42" s="30" t="n">
        <v>20000</v>
      </c>
      <c r="G42" s="29" t="inlineStr">
        <is>
          <t>Official</t>
        </is>
      </c>
      <c r="H42" s="31" t="n">
        <v>155</v>
      </c>
      <c r="I42" s="31">
        <f>IF(AND(ISNUMBER(F42),ISNUMBER(H42),H42&gt;0),F42/H42,"")</f>
        <v/>
      </c>
      <c r="J42" s="28" t="n"/>
      <c r="K42" s="32" t="inlineStr">
        <is>
          <t>TSMC N5P</t>
        </is>
      </c>
    </row>
    <row r="43" ht="15" customHeight="1" s="24">
      <c r="A43" s="28" t="inlineStr">
        <is>
          <t>Apple/Arm</t>
        </is>
      </c>
      <c r="B43" s="28" t="inlineStr">
        <is>
          <t>M2 Ultra</t>
        </is>
      </c>
      <c r="C43" s="28" t="inlineStr">
        <is>
          <t>ARMv8.6-A</t>
        </is>
      </c>
      <c r="D43" s="29" t="inlineStr">
        <is>
          <t>2023</t>
        </is>
      </c>
      <c r="E43" s="29" t="inlineStr">
        <is>
          <t>5</t>
        </is>
      </c>
      <c r="F43" s="30" t="n">
        <v>134000</v>
      </c>
      <c r="G43" s="29" t="inlineStr">
        <is>
          <t>Official</t>
        </is>
      </c>
      <c r="H43" s="28" t="n"/>
      <c r="I43" s="31">
        <f>IF(AND(ISNUMBER(F43),ISNUMBER(H43),H43&gt;0),F43/H43,"")</f>
        <v/>
      </c>
      <c r="J43" s="28" t="n"/>
      <c r="K43" s="32" t="inlineStr">
        <is>
          <t>Two M2 Max dies</t>
        </is>
      </c>
    </row>
    <row r="44" ht="15" customHeight="1" s="24">
      <c r="A44" s="28" t="inlineStr">
        <is>
          <t>Apple/Arm</t>
        </is>
      </c>
      <c r="B44" s="28" t="inlineStr">
        <is>
          <t>M3</t>
        </is>
      </c>
      <c r="C44" s="28" t="inlineStr">
        <is>
          <t>ARMv9-A</t>
        </is>
      </c>
      <c r="D44" s="29" t="inlineStr">
        <is>
          <t>2023</t>
        </is>
      </c>
      <c r="E44" s="29" t="inlineStr">
        <is>
          <t>3</t>
        </is>
      </c>
      <c r="F44" s="30" t="n">
        <v>25000</v>
      </c>
      <c r="G44" s="29" t="inlineStr">
        <is>
          <t>Official</t>
        </is>
      </c>
      <c r="H44" s="31" t="n">
        <v>146</v>
      </c>
      <c r="I44" s="31">
        <f>IF(AND(ISNUMBER(F44),ISNUMBER(H44),H44&gt;0),F44/H44,"")</f>
        <v/>
      </c>
      <c r="J44" s="28" t="n"/>
      <c r="K44" s="32" t="inlineStr">
        <is>
          <t>3 nm</t>
        </is>
      </c>
    </row>
    <row r="45" ht="15" customHeight="1" s="24">
      <c r="A45" s="28" t="inlineStr">
        <is>
          <t>AMD</t>
        </is>
      </c>
      <c r="B45" s="28" t="inlineStr">
        <is>
          <t>K6</t>
        </is>
      </c>
      <c r="C45" s="28" t="inlineStr">
        <is>
          <t>x86</t>
        </is>
      </c>
      <c r="D45" s="29" t="inlineStr">
        <is>
          <t>1997</t>
        </is>
      </c>
      <c r="E45" s="29" t="inlineStr">
        <is>
          <t>350</t>
        </is>
      </c>
      <c r="F45" s="30" t="n">
        <v>8.800000000000001</v>
      </c>
      <c r="G45" s="29" t="inlineStr">
        <is>
          <t>Official</t>
        </is>
      </c>
      <c r="H45" s="31" t="n">
        <v>162</v>
      </c>
      <c r="I45" s="31">
        <f>IF(AND(ISNUMBER(F45),ISNUMBER(H45),H45&gt;0),F45/H45,"")</f>
        <v/>
      </c>
      <c r="J45" s="30" t="n">
        <v>64</v>
      </c>
      <c r="K45" s="32" t="inlineStr">
        <is>
          <t>64 KB L1 only, no on-die L2</t>
        </is>
      </c>
    </row>
    <row r="46" ht="15" customHeight="1" s="24">
      <c r="A46" s="28" t="inlineStr">
        <is>
          <t>AMD</t>
        </is>
      </c>
      <c r="B46" s="28" t="inlineStr">
        <is>
          <t>Athlon (Thunderbird)</t>
        </is>
      </c>
      <c r="C46" s="28" t="inlineStr">
        <is>
          <t>x86</t>
        </is>
      </c>
      <c r="D46" s="29" t="inlineStr">
        <is>
          <t>2000</t>
        </is>
      </c>
      <c r="E46" s="29" t="inlineStr">
        <is>
          <t>180</t>
        </is>
      </c>
      <c r="F46" s="30" t="n">
        <v>37</v>
      </c>
      <c r="G46" s="29" t="inlineStr">
        <is>
          <t>Official</t>
        </is>
      </c>
      <c r="H46" s="31" t="n">
        <v>120</v>
      </c>
      <c r="I46" s="31">
        <f>IF(AND(ISNUMBER(F46),ISNUMBER(H46),H46&gt;0),F46/H46,"")</f>
        <v/>
      </c>
      <c r="J46" s="30" t="n">
        <v>384</v>
      </c>
      <c r="K46" s="32" t="inlineStr">
        <is>
          <t>128 KB L1 + 256 KB on-die L2</t>
        </is>
      </c>
    </row>
    <row r="47" ht="15" customHeight="1" s="24">
      <c r="A47" s="28" t="inlineStr">
        <is>
          <t>AMD</t>
        </is>
      </c>
      <c r="B47" s="28" t="inlineStr">
        <is>
          <t>Athlon 64 (Clawhammer, K8)</t>
        </is>
      </c>
      <c r="C47" s="28" t="inlineStr">
        <is>
          <t>x86-64</t>
        </is>
      </c>
      <c r="D47" s="29" t="inlineStr">
        <is>
          <t>2003</t>
        </is>
      </c>
      <c r="E47" s="29" t="inlineStr">
        <is>
          <t>130</t>
        </is>
      </c>
      <c r="F47" s="30" t="n">
        <v>105.9</v>
      </c>
      <c r="G47" s="29" t="inlineStr">
        <is>
          <t>Official</t>
        </is>
      </c>
      <c r="H47" s="31" t="n">
        <v>193</v>
      </c>
      <c r="I47" s="31">
        <f>IF(AND(ISNUMBER(F47),ISNUMBER(H47),H47&gt;0),F47/H47,"")</f>
        <v/>
      </c>
      <c r="J47" s="30" t="n">
        <v>1152</v>
      </c>
      <c r="K47" s="32" t="inlineStr">
        <is>
          <t>First consumer 64-bit x86; 1 MB L2</t>
        </is>
      </c>
    </row>
    <row r="48" ht="15" customHeight="1" s="24">
      <c r="A48" s="28" t="inlineStr">
        <is>
          <t>AMD</t>
        </is>
      </c>
      <c r="B48" s="28" t="inlineStr">
        <is>
          <t>Athlon 64 X2 (Toledo)</t>
        </is>
      </c>
      <c r="C48" s="28" t="inlineStr">
        <is>
          <t>x86-64</t>
        </is>
      </c>
      <c r="D48" s="29" t="inlineStr">
        <is>
          <t>2005</t>
        </is>
      </c>
      <c r="E48" s="29" t="inlineStr">
        <is>
          <t>90</t>
        </is>
      </c>
      <c r="F48" s="30" t="n">
        <v>233.2</v>
      </c>
      <c r="G48" s="29" t="inlineStr">
        <is>
          <t>Official</t>
        </is>
      </c>
      <c r="H48" s="31" t="n">
        <v>199</v>
      </c>
      <c r="I48" s="31">
        <f>IF(AND(ISNUMBER(F48),ISNUMBER(H48),H48&gt;0),F48/H48,"")</f>
        <v/>
      </c>
      <c r="J48" s="30" t="n">
        <v>2304</v>
      </c>
      <c r="K48" s="32" t="inlineStr">
        <is>
          <t>Dual-core; 2x 1 MB L2</t>
        </is>
      </c>
    </row>
    <row r="49" ht="15" customHeight="1" s="24">
      <c r="A49" s="33" t="inlineStr">
        <is>
          <t>AMD</t>
        </is>
      </c>
      <c r="B49" s="33" t="inlineStr">
        <is>
          <t>Phenom (Agena, K10)</t>
        </is>
      </c>
      <c r="C49" s="33" t="inlineStr">
        <is>
          <t>x86-64</t>
        </is>
      </c>
      <c r="D49" s="34" t="inlineStr">
        <is>
          <t>2007</t>
        </is>
      </c>
      <c r="E49" s="34" t="inlineStr">
        <is>
          <t>65</t>
        </is>
      </c>
      <c r="F49" s="35" t="n">
        <v>450</v>
      </c>
      <c r="G49" s="34" t="inlineStr">
        <is>
          <t>Estimate</t>
        </is>
      </c>
      <c r="H49" s="36" t="n">
        <v>283</v>
      </c>
      <c r="I49" s="36">
        <f>IF(AND(ISNUMBER(F49),ISNUMBER(H49),H49&gt;0),F49/H49,"")</f>
        <v/>
      </c>
      <c r="J49" s="33" t="n"/>
      <c r="K49" s="37" t="inlineStr">
        <is>
          <t>First native quad-core; count approximate</t>
        </is>
      </c>
    </row>
    <row r="50" ht="15" customHeight="1" s="24">
      <c r="A50" s="28" t="inlineStr">
        <is>
          <t>AMD</t>
        </is>
      </c>
      <c r="B50" s="28" t="inlineStr">
        <is>
          <t>Phenom II X4 (Deneb)</t>
        </is>
      </c>
      <c r="C50" s="28" t="inlineStr">
        <is>
          <t>x86-64</t>
        </is>
      </c>
      <c r="D50" s="29" t="inlineStr">
        <is>
          <t>2009</t>
        </is>
      </c>
      <c r="E50" s="29" t="inlineStr">
        <is>
          <t>45</t>
        </is>
      </c>
      <c r="F50" s="30" t="n">
        <v>758</v>
      </c>
      <c r="G50" s="29" t="inlineStr">
        <is>
          <t>Official</t>
        </is>
      </c>
      <c r="H50" s="31" t="n">
        <v>258</v>
      </c>
      <c r="I50" s="31">
        <f>IF(AND(ISNUMBER(F50),ISNUMBER(H50),H50&gt;0),F50/H50,"")</f>
        <v/>
      </c>
      <c r="J50" s="30" t="n">
        <v>8704</v>
      </c>
      <c r="K50" s="32" t="inlineStr">
        <is>
          <t>6 MB L3 + per-core L1/L2</t>
        </is>
      </c>
    </row>
    <row r="51" ht="15" customHeight="1" s="24">
      <c r="A51" s="33" t="inlineStr">
        <is>
          <t>AMD</t>
        </is>
      </c>
      <c r="B51" s="33" t="inlineStr">
        <is>
          <t>FX-8150 (Bulldozer)</t>
        </is>
      </c>
      <c r="C51" s="33" t="inlineStr">
        <is>
          <t>x86-64</t>
        </is>
      </c>
      <c r="D51" s="34" t="inlineStr">
        <is>
          <t>2011</t>
        </is>
      </c>
      <c r="E51" s="34" t="inlineStr">
        <is>
          <t>32</t>
        </is>
      </c>
      <c r="F51" s="35" t="n">
        <v>1200</v>
      </c>
      <c r="G51" s="34" t="inlineStr">
        <is>
          <t>Estimate</t>
        </is>
      </c>
      <c r="H51" s="36" t="n">
        <v>315</v>
      </c>
      <c r="I51" s="36">
        <f>IF(AND(ISNUMBER(F51),ISNUMBER(H51),H51&gt;0),F51/H51,"")</f>
        <v/>
      </c>
      <c r="J51" s="35" t="n">
        <v>16384</v>
      </c>
      <c r="K51" s="37" t="inlineStr">
        <is>
          <t>Modular cores; cache total approximate</t>
        </is>
      </c>
    </row>
    <row r="52" ht="15" customHeight="1" s="24">
      <c r="A52" s="28" t="inlineStr">
        <is>
          <t>AMD</t>
        </is>
      </c>
      <c r="B52" s="28" t="inlineStr">
        <is>
          <t>Ryzen 7 1800X (Zen, Zeppelin)</t>
        </is>
      </c>
      <c r="C52" s="28" t="inlineStr">
        <is>
          <t>x86-64</t>
        </is>
      </c>
      <c r="D52" s="29" t="inlineStr">
        <is>
          <t>2017</t>
        </is>
      </c>
      <c r="E52" s="29" t="inlineStr">
        <is>
          <t>14</t>
        </is>
      </c>
      <c r="F52" s="30" t="n">
        <v>4800</v>
      </c>
      <c r="G52" s="29" t="inlineStr">
        <is>
          <t>Official</t>
        </is>
      </c>
      <c r="H52" s="31" t="n">
        <v>213</v>
      </c>
      <c r="I52" s="31">
        <f>IF(AND(ISNUMBER(F52),ISNUMBER(H52),H52&gt;0),F52/H52,"")</f>
        <v/>
      </c>
      <c r="J52" s="30" t="n">
        <v>21248</v>
      </c>
      <c r="K52" s="32" t="inlineStr">
        <is>
          <t>Monolithic die; 16 MB L3</t>
        </is>
      </c>
    </row>
    <row r="53" ht="15" customHeight="1" s="24">
      <c r="A53" s="28" t="inlineStr">
        <is>
          <t>AMD</t>
        </is>
      </c>
      <c r="B53" s="28" t="inlineStr">
        <is>
          <t>Ryzen 9 3900X (Zen 2, Matisse)</t>
        </is>
      </c>
      <c r="C53" s="28" t="inlineStr">
        <is>
          <t>x86-64</t>
        </is>
      </c>
      <c r="D53" s="29" t="inlineStr">
        <is>
          <t>2019</t>
        </is>
      </c>
      <c r="E53" s="29" t="inlineStr">
        <is>
          <t>7 / 12</t>
        </is>
      </c>
      <c r="F53" s="30" t="n">
        <v>9890</v>
      </c>
      <c r="G53" s="29" t="inlineStr">
        <is>
          <t>Official</t>
        </is>
      </c>
      <c r="H53" s="31" t="n">
        <v>273</v>
      </c>
      <c r="I53" s="31">
        <f>IF(AND(ISNUMBER(F53),ISNUMBER(H53),H53&gt;0),F53/H53,"")</f>
        <v/>
      </c>
      <c r="J53" s="28" t="n"/>
      <c r="K53" s="32" t="inlineStr">
        <is>
          <t>Package: 2x CCD + I/O die (see CCD rows)</t>
        </is>
      </c>
    </row>
    <row r="54" ht="15" customHeight="1" s="24">
      <c r="A54" s="28" t="inlineStr">
        <is>
          <t>AMD</t>
        </is>
      </c>
      <c r="B54" s="28" t="inlineStr">
        <is>
          <t>Zen 2 CCD (compute die)</t>
        </is>
      </c>
      <c r="C54" s="28" t="inlineStr">
        <is>
          <t>x86-64</t>
        </is>
      </c>
      <c r="D54" s="29" t="inlineStr">
        <is>
          <t>2019</t>
        </is>
      </c>
      <c r="E54" s="29" t="inlineStr">
        <is>
          <t>7</t>
        </is>
      </c>
      <c r="F54" s="30" t="n">
        <v>3900</v>
      </c>
      <c r="G54" s="29" t="inlineStr">
        <is>
          <t>Official</t>
        </is>
      </c>
      <c r="H54" s="31" t="n">
        <v>74</v>
      </c>
      <c r="I54" s="31">
        <f>IF(AND(ISNUMBER(F54),ISNUMBER(H54),H54&gt;0),F54/H54,"")</f>
        <v/>
      </c>
      <c r="J54" s="30" t="n">
        <v>37650</v>
      </c>
      <c r="K54" s="32" t="inlineStr">
        <is>
          <t>Per-die: 8 cores + 32 MB L3 - clean by-function datapoint</t>
        </is>
      </c>
    </row>
    <row r="55" ht="15" customHeight="1" s="24">
      <c r="A55" s="28" t="inlineStr">
        <is>
          <t>AMD</t>
        </is>
      </c>
      <c r="B55" s="28" t="inlineStr">
        <is>
          <t>Zen 3 CCD (compute die)</t>
        </is>
      </c>
      <c r="C55" s="28" t="inlineStr">
        <is>
          <t>x86-64</t>
        </is>
      </c>
      <c r="D55" s="29" t="inlineStr">
        <is>
          <t>2020</t>
        </is>
      </c>
      <c r="E55" s="29" t="inlineStr">
        <is>
          <t>7</t>
        </is>
      </c>
      <c r="F55" s="30" t="n">
        <v>4150</v>
      </c>
      <c r="G55" s="29" t="inlineStr">
        <is>
          <t>Official</t>
        </is>
      </c>
      <c r="H55" s="31" t="n">
        <v>83</v>
      </c>
      <c r="I55" s="31">
        <f>IF(AND(ISNUMBER(F55),ISNUMBER(H55),H55&gt;0),F55/H55,"")</f>
        <v/>
      </c>
      <c r="J55" s="30" t="n">
        <v>37650</v>
      </c>
      <c r="K55" s="32" t="inlineStr">
        <is>
          <t>Per-die: 8 cores + 32 MB L3</t>
        </is>
      </c>
    </row>
    <row r="56" ht="15" customHeight="1" s="24">
      <c r="A56" s="28" t="inlineStr">
        <is>
          <t>AMD</t>
        </is>
      </c>
      <c r="B56" s="28" t="inlineStr">
        <is>
          <t>Zen 4 CCD (compute die)</t>
        </is>
      </c>
      <c r="C56" s="28" t="inlineStr">
        <is>
          <t>x86-64</t>
        </is>
      </c>
      <c r="D56" s="29" t="inlineStr">
        <is>
          <t>2022</t>
        </is>
      </c>
      <c r="E56" s="29" t="inlineStr">
        <is>
          <t>5</t>
        </is>
      </c>
      <c r="F56" s="30" t="n">
        <v>6570</v>
      </c>
      <c r="G56" s="29" t="inlineStr">
        <is>
          <t>Official</t>
        </is>
      </c>
      <c r="H56" s="31" t="n">
        <v>70</v>
      </c>
      <c r="I56" s="31">
        <f>IF(AND(ISNUMBER(F56),ISNUMBER(H56),H56&gt;0),F56/H56,"")</f>
        <v/>
      </c>
      <c r="J56" s="30" t="n">
        <v>41747</v>
      </c>
      <c r="K56" s="32" t="inlineStr">
        <is>
          <t>Per-die: doubled L2 to 1 MB/core; AVX-512 logic</t>
        </is>
      </c>
    </row>
    <row r="57" ht="15" customHeight="1" s="24">
      <c r="A57" s="28" t="inlineStr">
        <is>
          <t>AMD</t>
        </is>
      </c>
      <c r="B57" s="28" t="inlineStr">
        <is>
          <t>EPYC 7742 (Zen 2, Rome)</t>
        </is>
      </c>
      <c r="C57" s="28" t="inlineStr">
        <is>
          <t>x86-64</t>
        </is>
      </c>
      <c r="D57" s="29" t="inlineStr">
        <is>
          <t>2019</t>
        </is>
      </c>
      <c r="E57" s="29" t="inlineStr">
        <is>
          <t>7 / 12</t>
        </is>
      </c>
      <c r="F57" s="30" t="n">
        <v>39540</v>
      </c>
      <c r="G57" s="29" t="inlineStr">
        <is>
          <t>Official</t>
        </is>
      </c>
      <c r="H57" s="31" t="n">
        <v>1008</v>
      </c>
      <c r="I57" s="31">
        <f>IF(AND(ISNUMBER(F57),ISNUMBER(H57),H57&gt;0),F57/H57,"")</f>
        <v/>
      </c>
      <c r="J57" s="28" t="n"/>
      <c r="K57" s="32" t="inlineStr">
        <is>
          <t>9-die MCM (8 CCD + IOD); largest commercial count to 2019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32" customWidth="1" style="23" min="2" max="2"/>
    <col width="7" customWidth="1" style="23" min="3" max="3"/>
    <col width="15" customWidth="1" style="23" min="4" max="4"/>
    <col width="18" customWidth="1" style="23" min="5" max="5"/>
    <col width="20" customWidth="1" style="23" min="6" max="6"/>
    <col width="18" customWidth="1" style="23" min="7" max="7"/>
  </cols>
  <sheetData>
    <row r="1" ht="17.35" customHeight="1" s="24">
      <c r="A1" s="25" t="inlineStr">
        <is>
          <t>Estimated cache share of transistor budget (6T-SRAM model)</t>
        </is>
      </c>
    </row>
    <row r="2" ht="45.75" customHeight="1" s="24">
      <c r="A2" s="38" t="inlineStr">
        <is>
          <t>Model: cache transistors = cache_KB x 1024 x 8 bits x 6 transistors/bit. Data-array lower bound (tags/control add ~10-15%). Shown only where on-die cache is well documented. AMD chiplet PACKAGES omitted (mixed dies); AMD CCD rows are clean per-die figures.</t>
        </is>
      </c>
    </row>
    <row r="4" ht="23.85" customHeight="1" s="24">
      <c r="A4" s="27" t="inlineStr">
        <is>
          <t>Vendor</t>
        </is>
      </c>
      <c r="B4" s="27" t="inlineStr">
        <is>
          <t>Chip</t>
        </is>
      </c>
      <c r="C4" s="27" t="inlineStr">
        <is>
          <t>Year</t>
        </is>
      </c>
      <c r="D4" s="27" t="inlineStr">
        <is>
          <t>Total cache (KB)</t>
        </is>
      </c>
      <c r="E4" s="27" t="inlineStr">
        <is>
          <t>Total transistors (millions)</t>
        </is>
      </c>
      <c r="F4" s="27" t="inlineStr">
        <is>
          <t>Est. cache transistors (millions)</t>
        </is>
      </c>
      <c r="G4" s="27" t="inlineStr">
        <is>
          <t>Est. cache share of total</t>
        </is>
      </c>
    </row>
    <row r="5" ht="15" customHeight="1" s="24">
      <c r="A5" s="28" t="inlineStr">
        <is>
          <t>Intel</t>
        </is>
      </c>
      <c r="B5" s="28" t="inlineStr">
        <is>
          <t>i486 DX</t>
        </is>
      </c>
      <c r="C5" s="29" t="inlineStr">
        <is>
          <t>1989</t>
        </is>
      </c>
      <c r="D5" s="30" t="n">
        <v>8</v>
      </c>
      <c r="E5" s="30" t="n">
        <v>1.18</v>
      </c>
      <c r="F5" s="30">
        <f>D5*1024*8*6/1000000</f>
        <v/>
      </c>
      <c r="G5" s="39">
        <f>IF(E5&gt;0,F5/E5,"")</f>
        <v/>
      </c>
    </row>
    <row r="6" ht="15" customHeight="1" s="24">
      <c r="A6" s="28" t="inlineStr">
        <is>
          <t>Intel</t>
        </is>
      </c>
      <c r="B6" s="28" t="inlineStr">
        <is>
          <t>Pentium</t>
        </is>
      </c>
      <c r="C6" s="29" t="inlineStr">
        <is>
          <t>1993</t>
        </is>
      </c>
      <c r="D6" s="30" t="n">
        <v>16</v>
      </c>
      <c r="E6" s="30" t="n">
        <v>3.1</v>
      </c>
      <c r="F6" s="30">
        <f>D6*1024*8*6/1000000</f>
        <v/>
      </c>
      <c r="G6" s="39">
        <f>IF(E6&gt;0,F6/E6,"")</f>
        <v/>
      </c>
    </row>
    <row r="7" ht="15" customHeight="1" s="24">
      <c r="A7" s="28" t="inlineStr">
        <is>
          <t>Intel</t>
        </is>
      </c>
      <c r="B7" s="28" t="inlineStr">
        <is>
          <t>Pentium Pro</t>
        </is>
      </c>
      <c r="C7" s="29" t="inlineStr">
        <is>
          <t>1995</t>
        </is>
      </c>
      <c r="D7" s="30" t="n">
        <v>16</v>
      </c>
      <c r="E7" s="30" t="n">
        <v>5.5</v>
      </c>
      <c r="F7" s="30">
        <f>D7*1024*8*6/1000000</f>
        <v/>
      </c>
      <c r="G7" s="39">
        <f>IF(E7&gt;0,F7/E7,"")</f>
        <v/>
      </c>
    </row>
    <row r="8" ht="15" customHeight="1" s="24">
      <c r="A8" s="28" t="inlineStr">
        <is>
          <t>Intel</t>
        </is>
      </c>
      <c r="B8" s="28" t="inlineStr">
        <is>
          <t>Pentium II</t>
        </is>
      </c>
      <c r="C8" s="29" t="inlineStr">
        <is>
          <t>1997</t>
        </is>
      </c>
      <c r="D8" s="30" t="n">
        <v>32</v>
      </c>
      <c r="E8" s="30" t="n">
        <v>7.5</v>
      </c>
      <c r="F8" s="30">
        <f>D8*1024*8*6/1000000</f>
        <v/>
      </c>
      <c r="G8" s="39">
        <f>IF(E8&gt;0,F8/E8,"")</f>
        <v/>
      </c>
    </row>
    <row r="9" ht="15" customHeight="1" s="24">
      <c r="A9" s="28" t="inlineStr">
        <is>
          <t>Intel</t>
        </is>
      </c>
      <c r="B9" s="28" t="inlineStr">
        <is>
          <t>Pentium III (Coppermine)</t>
        </is>
      </c>
      <c r="C9" s="29" t="inlineStr">
        <is>
          <t>2000</t>
        </is>
      </c>
      <c r="D9" s="30" t="n">
        <v>288</v>
      </c>
      <c r="E9" s="30" t="n">
        <v>28</v>
      </c>
      <c r="F9" s="30">
        <f>D9*1024*8*6/1000000</f>
        <v/>
      </c>
      <c r="G9" s="39">
        <f>IF(E9&gt;0,F9/E9,"")</f>
        <v/>
      </c>
    </row>
    <row r="10" ht="15" customHeight="1" s="24">
      <c r="A10" s="28" t="inlineStr">
        <is>
          <t>Intel</t>
        </is>
      </c>
      <c r="B10" s="28" t="inlineStr">
        <is>
          <t>Pentium 4 (Willamette)</t>
        </is>
      </c>
      <c r="C10" s="29" t="inlineStr">
        <is>
          <t>2000</t>
        </is>
      </c>
      <c r="D10" s="30" t="n">
        <v>264</v>
      </c>
      <c r="E10" s="30" t="n">
        <v>42</v>
      </c>
      <c r="F10" s="30">
        <f>D10*1024*8*6/1000000</f>
        <v/>
      </c>
      <c r="G10" s="39">
        <f>IF(E10&gt;0,F10/E10,"")</f>
        <v/>
      </c>
    </row>
    <row r="11" ht="15" customHeight="1" s="24">
      <c r="A11" s="28" t="inlineStr">
        <is>
          <t>Intel</t>
        </is>
      </c>
      <c r="B11" s="28" t="inlineStr">
        <is>
          <t>Pentium 4 (Prescott)</t>
        </is>
      </c>
      <c r="C11" s="29" t="inlineStr">
        <is>
          <t>2004</t>
        </is>
      </c>
      <c r="D11" s="30" t="n">
        <v>1040</v>
      </c>
      <c r="E11" s="30" t="n">
        <v>125</v>
      </c>
      <c r="F11" s="30">
        <f>D11*1024*8*6/1000000</f>
        <v/>
      </c>
      <c r="G11" s="39">
        <f>IF(E11&gt;0,F11/E11,"")</f>
        <v/>
      </c>
    </row>
    <row r="12" ht="15" customHeight="1" s="24">
      <c r="A12" s="28" t="inlineStr">
        <is>
          <t>Intel</t>
        </is>
      </c>
      <c r="B12" s="28" t="inlineStr">
        <is>
          <t>Itanium 2 (Madison 9M)</t>
        </is>
      </c>
      <c r="C12" s="29" t="inlineStr">
        <is>
          <t>2004</t>
        </is>
      </c>
      <c r="D12" s="30" t="n">
        <v>9504</v>
      </c>
      <c r="E12" s="30" t="n">
        <v>592</v>
      </c>
      <c r="F12" s="30">
        <f>D12*1024*8*6/1000000</f>
        <v/>
      </c>
      <c r="G12" s="39">
        <f>IF(E12&gt;0,F12/E12,"")</f>
        <v/>
      </c>
    </row>
    <row r="13" ht="15" customHeight="1" s="24">
      <c r="A13" s="28" t="inlineStr">
        <is>
          <t>Intel</t>
        </is>
      </c>
      <c r="B13" s="28" t="inlineStr">
        <is>
          <t>Core 2 Duo (Conroe)</t>
        </is>
      </c>
      <c r="C13" s="29" t="inlineStr">
        <is>
          <t>2006</t>
        </is>
      </c>
      <c r="D13" s="30" t="n">
        <v>4224</v>
      </c>
      <c r="E13" s="30" t="n">
        <v>291</v>
      </c>
      <c r="F13" s="30">
        <f>D13*1024*8*6/1000000</f>
        <v/>
      </c>
      <c r="G13" s="39">
        <f>IF(E13&gt;0,F13/E13,"")</f>
        <v/>
      </c>
    </row>
    <row r="14" ht="15" customHeight="1" s="24">
      <c r="A14" s="28" t="inlineStr">
        <is>
          <t>Intel</t>
        </is>
      </c>
      <c r="B14" s="28" t="inlineStr">
        <is>
          <t>Core i7 (Nehalem, quad)</t>
        </is>
      </c>
      <c r="C14" s="29" t="inlineStr">
        <is>
          <t>2008</t>
        </is>
      </c>
      <c r="D14" s="30" t="n">
        <v>9472</v>
      </c>
      <c r="E14" s="30" t="n">
        <v>731</v>
      </c>
      <c r="F14" s="30">
        <f>D14*1024*8*6/1000000</f>
        <v/>
      </c>
      <c r="G14" s="39">
        <f>IF(E14&gt;0,F14/E14,"")</f>
        <v/>
      </c>
    </row>
    <row r="15" ht="15" customHeight="1" s="24">
      <c r="A15" s="28" t="inlineStr">
        <is>
          <t>Intel</t>
        </is>
      </c>
      <c r="B15" s="28" t="inlineStr">
        <is>
          <t>Core i7 (Westmere, 6-core)</t>
        </is>
      </c>
      <c r="C15" s="29" t="inlineStr">
        <is>
          <t>2010</t>
        </is>
      </c>
      <c r="D15" s="30" t="n">
        <v>13568</v>
      </c>
      <c r="E15" s="30" t="n">
        <v>1170</v>
      </c>
      <c r="F15" s="30">
        <f>D15*1024*8*6/1000000</f>
        <v/>
      </c>
      <c r="G15" s="39">
        <f>IF(E15&gt;0,F15/E15,"")</f>
        <v/>
      </c>
    </row>
    <row r="16" ht="15" customHeight="1" s="24">
      <c r="A16" s="28" t="inlineStr">
        <is>
          <t>Intel</t>
        </is>
      </c>
      <c r="B16" s="28" t="inlineStr">
        <is>
          <t>Itanium (Tukwila, quad)</t>
        </is>
      </c>
      <c r="C16" s="29" t="inlineStr">
        <is>
          <t>2010</t>
        </is>
      </c>
      <c r="D16" s="30" t="n">
        <v>25600</v>
      </c>
      <c r="E16" s="30" t="n">
        <v>2000</v>
      </c>
      <c r="F16" s="30">
        <f>D16*1024*8*6/1000000</f>
        <v/>
      </c>
      <c r="G16" s="39">
        <f>IF(E16&gt;0,F16/E16,"")</f>
        <v/>
      </c>
    </row>
    <row r="17" ht="15" customHeight="1" s="24">
      <c r="A17" s="28" t="inlineStr">
        <is>
          <t>Intel</t>
        </is>
      </c>
      <c r="B17" s="28" t="inlineStr">
        <is>
          <t>Xeon (Nehalem-EX, 8-core)</t>
        </is>
      </c>
      <c r="C17" s="29" t="inlineStr">
        <is>
          <t>2010</t>
        </is>
      </c>
      <c r="D17" s="30" t="n">
        <v>25600</v>
      </c>
      <c r="E17" s="30" t="n">
        <v>2300</v>
      </c>
      <c r="F17" s="30">
        <f>D17*1024*8*6/1000000</f>
        <v/>
      </c>
      <c r="G17" s="39">
        <f>IF(E17&gt;0,F17/E17,"")</f>
        <v/>
      </c>
    </row>
    <row r="18" ht="15" customHeight="1" s="24">
      <c r="A18" s="28" t="inlineStr">
        <is>
          <t>Intel</t>
        </is>
      </c>
      <c r="B18" s="28" t="inlineStr">
        <is>
          <t>Core i7 (Sandy Bridge, quad)</t>
        </is>
      </c>
      <c r="C18" s="29" t="inlineStr">
        <is>
          <t>2011</t>
        </is>
      </c>
      <c r="D18" s="30" t="n">
        <v>9472</v>
      </c>
      <c r="E18" s="30" t="n">
        <v>1160</v>
      </c>
      <c r="F18" s="30">
        <f>D18*1024*8*6/1000000</f>
        <v/>
      </c>
      <c r="G18" s="39">
        <f>IF(E18&gt;0,F18/E18,"")</f>
        <v/>
      </c>
    </row>
    <row r="19" ht="15" customHeight="1" s="24">
      <c r="A19" s="28" t="inlineStr">
        <is>
          <t>Intel</t>
        </is>
      </c>
      <c r="B19" s="28" t="inlineStr">
        <is>
          <t>Core i7 (Ivy Bridge, quad)</t>
        </is>
      </c>
      <c r="C19" s="29" t="inlineStr">
        <is>
          <t>2012</t>
        </is>
      </c>
      <c r="D19" s="30" t="n">
        <v>9472</v>
      </c>
      <c r="E19" s="30" t="n">
        <v>1400</v>
      </c>
      <c r="F19" s="30">
        <f>D19*1024*8*6/1000000</f>
        <v/>
      </c>
      <c r="G19" s="39">
        <f>IF(E19&gt;0,F19/E19,"")</f>
        <v/>
      </c>
    </row>
    <row r="20" ht="15" customHeight="1" s="24">
      <c r="A20" s="28" t="inlineStr">
        <is>
          <t>Intel</t>
        </is>
      </c>
      <c r="B20" s="28" t="inlineStr">
        <is>
          <t>Itanium (Poulson, 8-core)</t>
        </is>
      </c>
      <c r="C20" s="29" t="inlineStr">
        <is>
          <t>2012</t>
        </is>
      </c>
      <c r="D20" s="30" t="n">
        <v>32768</v>
      </c>
      <c r="E20" s="30" t="n">
        <v>3100</v>
      </c>
      <c r="F20" s="30">
        <f>D20*1024*8*6/1000000</f>
        <v/>
      </c>
      <c r="G20" s="39">
        <f>IF(E20&gt;0,F20/E20,"")</f>
        <v/>
      </c>
    </row>
    <row r="21" ht="15" customHeight="1" s="24">
      <c r="A21" s="28" t="inlineStr">
        <is>
          <t>Intel</t>
        </is>
      </c>
      <c r="B21" s="28" t="inlineStr">
        <is>
          <t>Xeon Phi (62-core)</t>
        </is>
      </c>
      <c r="C21" s="29" t="inlineStr">
        <is>
          <t>2012</t>
        </is>
      </c>
      <c r="D21" s="30" t="n">
        <v>32768</v>
      </c>
      <c r="E21" s="30" t="n">
        <v>5000</v>
      </c>
      <c r="F21" s="30">
        <f>D21*1024*8*6/1000000</f>
        <v/>
      </c>
      <c r="G21" s="39">
        <f>IF(E21&gt;0,F21/E21,"")</f>
        <v/>
      </c>
    </row>
    <row r="22" ht="15" customHeight="1" s="24">
      <c r="A22" s="28" t="inlineStr">
        <is>
          <t>Intel</t>
        </is>
      </c>
      <c r="B22" s="28" t="inlineStr">
        <is>
          <t>Core i7 (Haswell, quad)</t>
        </is>
      </c>
      <c r="C22" s="29" t="inlineStr">
        <is>
          <t>2013</t>
        </is>
      </c>
      <c r="D22" s="30" t="n">
        <v>9472</v>
      </c>
      <c r="E22" s="30" t="n">
        <v>1400</v>
      </c>
      <c r="F22" s="30">
        <f>D22*1024*8*6/1000000</f>
        <v/>
      </c>
      <c r="G22" s="39">
        <f>IF(E22&gt;0,F22/E22,"")</f>
        <v/>
      </c>
    </row>
    <row r="23" ht="15" customHeight="1" s="24">
      <c r="A23" s="33" t="inlineStr">
        <is>
          <t>Intel</t>
        </is>
      </c>
      <c r="B23" s="33" t="inlineStr">
        <is>
          <t>Core i7 (Skylake, quad)</t>
        </is>
      </c>
      <c r="C23" s="34" t="inlineStr">
        <is>
          <t>2015</t>
        </is>
      </c>
      <c r="D23" s="35" t="n">
        <v>9472</v>
      </c>
      <c r="E23" s="35" t="n">
        <v>1750</v>
      </c>
      <c r="F23" s="35">
        <f>D23*1024*8*6/1000000</f>
        <v/>
      </c>
      <c r="G23" s="40">
        <f>IF(E23&gt;0,F23/E23,"")</f>
        <v/>
      </c>
    </row>
    <row r="24" ht="15" customHeight="1" s="24">
      <c r="A24" s="28" t="inlineStr">
        <is>
          <t>Intel</t>
        </is>
      </c>
      <c r="B24" s="28" t="inlineStr">
        <is>
          <t>Xeon (Broadwell-EP, 22-core)</t>
        </is>
      </c>
      <c r="C24" s="29" t="inlineStr">
        <is>
          <t>2016</t>
        </is>
      </c>
      <c r="D24" s="30" t="n">
        <v>63360</v>
      </c>
      <c r="E24" s="30" t="n">
        <v>7200</v>
      </c>
      <c r="F24" s="30">
        <f>D24*1024*8*6/1000000</f>
        <v/>
      </c>
      <c r="G24" s="39">
        <f>IF(E24&gt;0,F24/E24,"")</f>
        <v/>
      </c>
    </row>
    <row r="25" ht="15" customHeight="1" s="24">
      <c r="A25" s="33" t="inlineStr">
        <is>
          <t>Intel</t>
        </is>
      </c>
      <c r="B25" s="33" t="inlineStr">
        <is>
          <t>Core i9-13900K (Raptor Lake)</t>
        </is>
      </c>
      <c r="C25" s="34" t="inlineStr">
        <is>
          <t>2022</t>
        </is>
      </c>
      <c r="D25" s="35" t="n">
        <v>38912</v>
      </c>
      <c r="E25" s="35" t="n">
        <v>25900</v>
      </c>
      <c r="F25" s="35">
        <f>D25*1024*8*6/1000000</f>
        <v/>
      </c>
      <c r="G25" s="40">
        <f>IF(E25&gt;0,F25/E25,"")</f>
        <v/>
      </c>
    </row>
    <row r="26" ht="15" customHeight="1" s="24">
      <c r="A26" s="28" t="inlineStr">
        <is>
          <t>Apple/Arm</t>
        </is>
      </c>
      <c r="B26" s="28" t="inlineStr">
        <is>
          <t>A7</t>
        </is>
      </c>
      <c r="C26" s="29" t="inlineStr">
        <is>
          <t>2013</t>
        </is>
      </c>
      <c r="D26" s="30" t="n">
        <v>5248</v>
      </c>
      <c r="E26" s="30" t="n">
        <v>1000</v>
      </c>
      <c r="F26" s="30">
        <f>D26*1024*8*6/1000000</f>
        <v/>
      </c>
      <c r="G26" s="39">
        <f>IF(E26&gt;0,F26/E26,"")</f>
        <v/>
      </c>
    </row>
    <row r="27" ht="15" customHeight="1" s="24">
      <c r="A27" s="28" t="inlineStr">
        <is>
          <t>AMD</t>
        </is>
      </c>
      <c r="B27" s="28" t="inlineStr">
        <is>
          <t>K6</t>
        </is>
      </c>
      <c r="C27" s="29" t="inlineStr">
        <is>
          <t>1997</t>
        </is>
      </c>
      <c r="D27" s="30" t="n">
        <v>64</v>
      </c>
      <c r="E27" s="30" t="n">
        <v>8.800000000000001</v>
      </c>
      <c r="F27" s="30">
        <f>D27*1024*8*6/1000000</f>
        <v/>
      </c>
      <c r="G27" s="39">
        <f>IF(E27&gt;0,F27/E27,"")</f>
        <v/>
      </c>
    </row>
    <row r="28" ht="15" customHeight="1" s="24">
      <c r="A28" s="28" t="inlineStr">
        <is>
          <t>AMD</t>
        </is>
      </c>
      <c r="B28" s="28" t="inlineStr">
        <is>
          <t>Athlon (Thunderbird)</t>
        </is>
      </c>
      <c r="C28" s="29" t="inlineStr">
        <is>
          <t>2000</t>
        </is>
      </c>
      <c r="D28" s="30" t="n">
        <v>384</v>
      </c>
      <c r="E28" s="30" t="n">
        <v>37</v>
      </c>
      <c r="F28" s="30">
        <f>D28*1024*8*6/1000000</f>
        <v/>
      </c>
      <c r="G28" s="39">
        <f>IF(E28&gt;0,F28/E28,"")</f>
        <v/>
      </c>
    </row>
    <row r="29" ht="15" customHeight="1" s="24">
      <c r="A29" s="28" t="inlineStr">
        <is>
          <t>AMD</t>
        </is>
      </c>
      <c r="B29" s="28" t="inlineStr">
        <is>
          <t>Athlon 64 (Clawhammer, K8)</t>
        </is>
      </c>
      <c r="C29" s="29" t="inlineStr">
        <is>
          <t>2003</t>
        </is>
      </c>
      <c r="D29" s="30" t="n">
        <v>1152</v>
      </c>
      <c r="E29" s="30" t="n">
        <v>105.9</v>
      </c>
      <c r="F29" s="30">
        <f>D29*1024*8*6/1000000</f>
        <v/>
      </c>
      <c r="G29" s="39">
        <f>IF(E29&gt;0,F29/E29,"")</f>
        <v/>
      </c>
    </row>
    <row r="30" ht="15" customHeight="1" s="24">
      <c r="A30" s="28" t="inlineStr">
        <is>
          <t>AMD</t>
        </is>
      </c>
      <c r="B30" s="28" t="inlineStr">
        <is>
          <t>Athlon 64 X2 (Toledo)</t>
        </is>
      </c>
      <c r="C30" s="29" t="inlineStr">
        <is>
          <t>2005</t>
        </is>
      </c>
      <c r="D30" s="30" t="n">
        <v>2304</v>
      </c>
      <c r="E30" s="30" t="n">
        <v>233.2</v>
      </c>
      <c r="F30" s="30">
        <f>D30*1024*8*6/1000000</f>
        <v/>
      </c>
      <c r="G30" s="39">
        <f>IF(E30&gt;0,F30/E30,"")</f>
        <v/>
      </c>
    </row>
    <row r="31" ht="15" customHeight="1" s="24">
      <c r="A31" s="28" t="inlineStr">
        <is>
          <t>AMD</t>
        </is>
      </c>
      <c r="B31" s="28" t="inlineStr">
        <is>
          <t>Phenom II X4 (Deneb)</t>
        </is>
      </c>
      <c r="C31" s="29" t="inlineStr">
        <is>
          <t>2009</t>
        </is>
      </c>
      <c r="D31" s="30" t="n">
        <v>8704</v>
      </c>
      <c r="E31" s="30" t="n">
        <v>758</v>
      </c>
      <c r="F31" s="30">
        <f>D31*1024*8*6/1000000</f>
        <v/>
      </c>
      <c r="G31" s="39">
        <f>IF(E31&gt;0,F31/E31,"")</f>
        <v/>
      </c>
    </row>
    <row r="32" ht="15" customHeight="1" s="24">
      <c r="A32" s="33" t="inlineStr">
        <is>
          <t>AMD</t>
        </is>
      </c>
      <c r="B32" s="33" t="inlineStr">
        <is>
          <t>FX-8150 (Bulldozer)</t>
        </is>
      </c>
      <c r="C32" s="34" t="inlineStr">
        <is>
          <t>2011</t>
        </is>
      </c>
      <c r="D32" s="35" t="n">
        <v>16384</v>
      </c>
      <c r="E32" s="35" t="n">
        <v>1200</v>
      </c>
      <c r="F32" s="35">
        <f>D32*1024*8*6/1000000</f>
        <v/>
      </c>
      <c r="G32" s="40">
        <f>IF(E32&gt;0,F32/E32,"")</f>
        <v/>
      </c>
    </row>
    <row r="33" ht="15" customHeight="1" s="24">
      <c r="A33" s="28" t="inlineStr">
        <is>
          <t>AMD</t>
        </is>
      </c>
      <c r="B33" s="28" t="inlineStr">
        <is>
          <t>Ryzen 7 1800X (Zen, Zeppelin)</t>
        </is>
      </c>
      <c r="C33" s="29" t="inlineStr">
        <is>
          <t>2017</t>
        </is>
      </c>
      <c r="D33" s="30" t="n">
        <v>21248</v>
      </c>
      <c r="E33" s="30" t="n">
        <v>4800</v>
      </c>
      <c r="F33" s="30">
        <f>D33*1024*8*6/1000000</f>
        <v/>
      </c>
      <c r="G33" s="39">
        <f>IF(E33&gt;0,F33/E33,"")</f>
        <v/>
      </c>
    </row>
    <row r="34" ht="15" customHeight="1" s="24">
      <c r="A34" s="28" t="inlineStr">
        <is>
          <t>AMD</t>
        </is>
      </c>
      <c r="B34" s="28" t="inlineStr">
        <is>
          <t>Zen 2 CCD (compute die)</t>
        </is>
      </c>
      <c r="C34" s="29" t="inlineStr">
        <is>
          <t>2019</t>
        </is>
      </c>
      <c r="D34" s="30" t="n">
        <v>37650</v>
      </c>
      <c r="E34" s="30" t="n">
        <v>3900</v>
      </c>
      <c r="F34" s="30">
        <f>D34*1024*8*6/1000000</f>
        <v/>
      </c>
      <c r="G34" s="39">
        <f>IF(E34&gt;0,F34/E34,"")</f>
        <v/>
      </c>
    </row>
    <row r="35" ht="15" customHeight="1" s="24">
      <c r="A35" s="28" t="inlineStr">
        <is>
          <t>AMD</t>
        </is>
      </c>
      <c r="B35" s="28" t="inlineStr">
        <is>
          <t>Zen 3 CCD (compute die)</t>
        </is>
      </c>
      <c r="C35" s="29" t="inlineStr">
        <is>
          <t>2020</t>
        </is>
      </c>
      <c r="D35" s="30" t="n">
        <v>37650</v>
      </c>
      <c r="E35" s="30" t="n">
        <v>4150</v>
      </c>
      <c r="F35" s="30">
        <f>D35*1024*8*6/1000000</f>
        <v/>
      </c>
      <c r="G35" s="39">
        <f>IF(E35&gt;0,F35/E35,"")</f>
        <v/>
      </c>
    </row>
    <row r="36" ht="15" customHeight="1" s="24">
      <c r="A36" s="28" t="inlineStr">
        <is>
          <t>AMD</t>
        </is>
      </c>
      <c r="B36" s="28" t="inlineStr">
        <is>
          <t>Zen 4 CCD (compute die)</t>
        </is>
      </c>
      <c r="C36" s="29" t="inlineStr">
        <is>
          <t>2022</t>
        </is>
      </c>
      <c r="D36" s="30" t="n">
        <v>41747</v>
      </c>
      <c r="E36" s="30" t="n">
        <v>6570</v>
      </c>
      <c r="F36" s="30">
        <f>D36*1024*8*6/1000000</f>
        <v/>
      </c>
      <c r="G36" s="39">
        <f>IF(E36&gt;0,F36/E36,"")</f>
        <v/>
      </c>
    </row>
  </sheetData>
  <mergeCells count="1"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3" min="1" max="2"/>
    <col width="16" customWidth="1" style="23" min="3" max="3"/>
    <col width="14" customWidth="1" style="23" min="4" max="4"/>
    <col width="26" customWidth="1" style="23" min="5" max="5"/>
    <col width="44" customWidth="1" style="23" min="6" max="6"/>
  </cols>
  <sheetData>
    <row r="1" ht="17.35" customHeight="1" s="24">
      <c r="A1" s="25" t="inlineStr">
        <is>
          <t>Genuinely published functional breakdowns</t>
        </is>
      </c>
    </row>
    <row r="2" ht="30" customHeight="1" s="24">
      <c r="A2" s="38" t="inlineStr">
        <is>
          <t>The few cases with a published by-region split. Watch the Metric column: AREA % != transistor % (SRAM ~3-5x denser than logic; I/O least dense).</t>
        </is>
      </c>
    </row>
    <row r="4" ht="15" customHeight="1" s="24">
      <c r="A4" s="27" t="inlineStr">
        <is>
          <t>Chip (year, node)</t>
        </is>
      </c>
      <c r="B4" s="27" t="inlineStr">
        <is>
          <t>Region / function</t>
        </is>
      </c>
      <c r="C4" s="27" t="inlineStr">
        <is>
          <t>Metric</t>
        </is>
      </c>
      <c r="D4" s="27" t="inlineStr">
        <is>
          <t>Value</t>
        </is>
      </c>
      <c r="E4" s="27" t="inlineStr">
        <is>
          <t>Source</t>
        </is>
      </c>
      <c r="F4" s="27" t="inlineStr">
        <is>
          <t>Notes</t>
        </is>
      </c>
    </row>
    <row r="5" ht="15" customHeight="1" s="24">
      <c r="A5" s="41" t="inlineStr">
        <is>
          <t>Itanium Tukwila (2010, 65nm)</t>
        </is>
      </c>
      <c r="B5" s="41" t="inlineStr">
        <is>
          <t>L3 cache (24 MB, 6T SRAM)</t>
        </is>
      </c>
      <c r="C5" s="41" t="inlineStr">
        <is>
          <t>share of transistors</t>
        </is>
      </c>
      <c r="D5" s="41" t="inlineStr">
        <is>
          <t>majority</t>
        </is>
      </c>
      <c r="E5" s="41" t="inlineStr">
        <is>
          <t>Kanter, RWT 2020</t>
        </is>
      </c>
      <c r="F5" s="41" t="inlineStr">
        <is>
          <t>Densest region; most of the transistors</t>
        </is>
      </c>
    </row>
    <row r="6" ht="15" customHeight="1" s="24">
      <c r="A6" s="41" t="inlineStr">
        <is>
          <t>Itanium Poulson (2012, 32nm)</t>
        </is>
      </c>
      <c r="B6" s="41" t="inlineStr">
        <is>
          <t>L3 cache (32 MB)</t>
        </is>
      </c>
      <c r="C6" s="41" t="inlineStr">
        <is>
          <t>share of transistors</t>
        </is>
      </c>
      <c r="D6" s="41" t="inlineStr">
        <is>
          <t>~52% (6T est.)</t>
        </is>
      </c>
      <c r="E6" s="41" t="inlineStr">
        <is>
          <t>Kanter / 6T model</t>
        </is>
      </c>
      <c r="F6" s="41" t="inlineStr">
        <is>
          <t>See Cache Share sheet</t>
        </is>
      </c>
    </row>
    <row r="7" ht="15" customHeight="1" s="24">
      <c r="A7" s="41" t="inlineStr">
        <is>
          <t>Itanium Poulson (2012, 32nm)</t>
        </is>
      </c>
      <c r="B7" s="41" t="inlineStr">
        <is>
          <t>Cores + system + I/O</t>
        </is>
      </c>
      <c r="C7" s="41" t="inlineStr">
        <is>
          <t>share of transistors</t>
        </is>
      </c>
      <c r="D7" s="41" t="inlineStr">
        <is>
          <t>~48%</t>
        </is>
      </c>
      <c r="E7" s="41" t="inlineStr">
        <is>
          <t>Kanter, RWT 2020</t>
        </is>
      </c>
      <c r="F7" s="41" t="inlineStr">
        <is>
          <t>I/O least dense</t>
        </is>
      </c>
    </row>
    <row r="8" ht="15" customHeight="1" s="24">
      <c r="A8" s="41" t="inlineStr">
        <is>
          <t>Core (Nehalem, 45nm, quad)</t>
        </is>
      </c>
      <c r="B8" s="41" t="inlineStr">
        <is>
          <t>L3 cache</t>
        </is>
      </c>
      <c r="C8" s="41" t="inlineStr">
        <is>
          <t>share of DIE AREA</t>
        </is>
      </c>
      <c r="D8" s="41" t="inlineStr">
        <is>
          <t>~30%</t>
        </is>
      </c>
      <c r="E8" s="41" t="inlineStr">
        <is>
          <t>US Patent 9,710,181</t>
        </is>
      </c>
      <c r="F8" s="41" t="inlineStr">
        <is>
          <t>Area, not transistor, share</t>
        </is>
      </c>
    </row>
    <row r="9" ht="15" customHeight="1" s="24">
      <c r="A9" s="41" t="inlineStr">
        <is>
          <t>Core (Westmere, 32nm)</t>
        </is>
      </c>
      <c r="B9" s="41" t="inlineStr">
        <is>
          <t>L3 cache</t>
        </is>
      </c>
      <c r="C9" s="41" t="inlineStr">
        <is>
          <t>share of DIE AREA</t>
        </is>
      </c>
      <c r="D9" s="41" t="inlineStr">
        <is>
          <t>~35%</t>
        </is>
      </c>
      <c r="E9" s="41" t="inlineStr">
        <is>
          <t>US Patent 9,710,181</t>
        </is>
      </c>
      <c r="F9" s="41" t="inlineStr">
        <is>
          <t>Area, not transistor, share</t>
        </is>
      </c>
    </row>
    <row r="10" ht="22.35" customHeight="1" s="24">
      <c r="A10" s="41" t="inlineStr">
        <is>
          <t>AMD EPYC Rome (2019, 7/12nm)</t>
        </is>
      </c>
      <c r="B10" s="41" t="inlineStr">
        <is>
          <t>8x Zen 2 CCD</t>
        </is>
      </c>
      <c r="C10" s="41" t="inlineStr">
        <is>
          <t>share of transistors</t>
        </is>
      </c>
      <c r="D10" s="41" t="inlineStr">
        <is>
          <t>~79% (31.2 / 39.5 B)</t>
        </is>
      </c>
      <c r="E10" s="41" t="inlineStr">
        <is>
          <t>Tom's HW / Locuza die-shot</t>
        </is>
      </c>
      <c r="F10" s="41" t="inlineStr">
        <is>
          <t>8 CCDs x 3.9 B vs 8.34 B I/O die</t>
        </is>
      </c>
    </row>
    <row r="11" ht="22.35" customHeight="1" s="24">
      <c r="A11" s="41" t="inlineStr">
        <is>
          <t>AMD EPYC Rome (2019)</t>
        </is>
      </c>
      <c r="B11" s="41" t="inlineStr">
        <is>
          <t>I/O die (IOD)</t>
        </is>
      </c>
      <c r="C11" s="41" t="inlineStr">
        <is>
          <t>share of transistors</t>
        </is>
      </c>
      <c r="D11" s="41" t="inlineStr">
        <is>
          <t>~21% (8.34 / 39.5 B)</t>
        </is>
      </c>
      <c r="E11" s="41" t="inlineStr">
        <is>
          <t>Tom's HW / Locuza</t>
        </is>
      </c>
      <c r="F11" s="41" t="inlineStr">
        <is>
          <t>Separate 12nm die; SRAM + crossbar + PCIe/DDR</t>
        </is>
      </c>
    </row>
    <row r="12" ht="15" customHeight="1" s="24">
      <c r="A12" s="41" t="inlineStr">
        <is>
          <t>AMD Zen 2 CCD (2019, 7nm)</t>
        </is>
      </c>
      <c r="B12" s="41" t="inlineStr">
        <is>
          <t>L2+L3 cache</t>
        </is>
      </c>
      <c r="C12" s="41" t="inlineStr">
        <is>
          <t>share of transistors</t>
        </is>
      </c>
      <c r="D12" s="41" t="inlineStr">
        <is>
          <t>~46% (6T est.)</t>
        </is>
      </c>
      <c r="E12" s="41" t="inlineStr">
        <is>
          <t>6T model</t>
        </is>
      </c>
      <c r="F12" s="41" t="inlineStr">
        <is>
          <t>32 MB L3 + 4 MB L2 on a 3.9 B-tr die</t>
        </is>
      </c>
    </row>
    <row r="13" ht="15" customHeight="1" s="24">
      <c r="A13" s="41" t="inlineStr">
        <is>
          <t>General modern CPU</t>
        </is>
      </c>
      <c r="B13" s="41" t="inlineStr">
        <is>
          <t>Logic vs SRAM density</t>
        </is>
      </c>
      <c r="C13" s="41" t="inlineStr">
        <is>
          <t>density ratio</t>
        </is>
      </c>
      <c r="D13" s="41" t="inlineStr">
        <is>
          <t>~3-5x</t>
        </is>
      </c>
      <c r="E13" s="41" t="inlineStr">
        <is>
          <t>Kanter, RWT 2020</t>
        </is>
      </c>
      <c r="F13" s="41" t="inlineStr">
        <is>
          <t>Region density varies &gt;20x on one die</t>
        </is>
      </c>
    </row>
  </sheetData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23" min="1" max="1"/>
  </cols>
  <sheetData>
    <row r="1" ht="17.35" customHeight="1" s="24">
      <c r="A1" s="25" t="inlineStr">
        <is>
          <t>Methodology, caveats &amp; sources</t>
        </is>
      </c>
    </row>
    <row r="3" ht="15" customHeight="1" s="24">
      <c r="A3" s="42" t="n"/>
    </row>
    <row r="4" ht="15" customHeight="1" s="24">
      <c r="A4" s="43" t="inlineStr">
        <is>
          <t>WHY THERE IS NO CLEAN 'TRANSISTORS BY FUNCTION' DATASET:</t>
        </is>
      </c>
    </row>
    <row r="5" ht="15" customHeight="1" s="24">
      <c r="A5" s="42" t="inlineStr">
        <is>
          <t>- Vendors publish a single total transistor count (not always). They rarely break it down by functional block.</t>
        </is>
      </c>
    </row>
    <row r="6" ht="15" customHeight="1" s="24">
      <c r="A6" s="42" t="inlineStr">
        <is>
          <t>- Annotated die shots give AREA by block, but area != transistor share: SRAM ~3-5x denser than logic; I/O far less dense.</t>
        </is>
      </c>
    </row>
    <row r="7" ht="15" customHeight="1" s="24">
      <c r="A7" s="42" t="inlineStr">
        <is>
          <t>- On-die region-to-region transistor density can vary by &gt;20x (Kanter, 2020).</t>
        </is>
      </c>
    </row>
    <row r="8" ht="15" customHeight="1" s="24">
      <c r="A8" s="42" t="inlineStr">
        <is>
          <t>- Intel stopped publishing official total counts after ~2014. Post-2014 Intel figures here are estimates (die area x density).</t>
        </is>
      </c>
    </row>
    <row r="9" ht="15" customHeight="1" s="24">
      <c r="A9" s="42" t="n"/>
    </row>
    <row r="10" ht="15" customHeight="1" s="24">
      <c r="A10" s="42" t="inlineStr">
        <is>
          <t>THE 6T CACHE-SHARE MODEL (Sheet 2):</t>
        </is>
      </c>
    </row>
    <row r="11" ht="15" customHeight="1" s="24">
      <c r="A11" s="42" t="inlineStr">
        <is>
          <t>- cache transistors = cache_KB x 1024 x 8 (bits) x 6 (transistors per 6T SRAM cell).</t>
        </is>
      </c>
    </row>
    <row r="12" ht="15" customHeight="1" s="24">
      <c r="A12" s="42" t="inlineStr">
        <is>
          <t>- Counts the data array only; tag arrays + control add ~10-15%, so the share shown is a conservative lower bound.</t>
        </is>
      </c>
    </row>
    <row r="13" ht="15" customHeight="1" s="24">
      <c r="A13" s="42" t="inlineStr">
        <is>
          <t>- Applied only where total on-die cache is well documented.</t>
        </is>
      </c>
    </row>
    <row r="14" ht="23.85" customHeight="1" s="24">
      <c r="A14" s="42" t="inlineStr">
        <is>
          <t>- Trend: cache rises from ~25-33% (early 1990s) to ~50-80% by mid-2000s (peak in cache-heavy server parts), then varies with core/cache/GPU/accelerator balance. Zen 4's L2 doubling + AVX-512 logic pushes the CCD's cache share back down vs Zen 2/3.</t>
        </is>
      </c>
    </row>
    <row r="15" ht="15" customHeight="1" s="24">
      <c r="A15" s="42" t="n"/>
    </row>
    <row r="16" ht="15" customHeight="1" s="24">
      <c r="A16" s="43" t="inlineStr">
        <is>
          <t>VENDOR-SPECIFIC NOTES:</t>
        </is>
      </c>
    </row>
    <row r="17" ht="23.85" customHeight="1" s="24">
      <c r="A17" s="42" t="inlineStr">
        <is>
          <t>- ARM: Arm Holdings licenses IP and ships no chips, so there is no per-core official count. Apple A/M series used as the best-documented Arm-ISA proxy.</t>
        </is>
      </c>
    </row>
    <row r="18" ht="23.85" customHeight="1" s="24">
      <c r="A18" s="42" t="inlineStr">
        <is>
          <t>- AMD chiplet parts (Zen 2+): a package total mixes compute dies (CCD, leading-edge node) with an I/O die (older node). Package and per-CCD rows are both listed; the CCD rows are the clean per-function data. EPYC Rome's 39.54 B is 8x 3.9 B CCD + 8.34 B IOD.</t>
        </is>
      </c>
    </row>
    <row r="19" ht="15" customHeight="1" s="24">
      <c r="A19" s="42" t="inlineStr">
        <is>
          <t>- Estimated (yellow) counts: Skylake, Raptor Lake, A9/A9X, AMD Phenom (Agena), AMD FX-8150.</t>
        </is>
      </c>
    </row>
    <row r="20" ht="15" customHeight="1" s="24">
      <c r="A20" s="42" t="n"/>
    </row>
    <row r="21" ht="15" customHeight="1" s="24">
      <c r="A21" s="43" t="inlineStr">
        <is>
          <t>SOURCES:</t>
        </is>
      </c>
    </row>
    <row r="22" ht="15" customHeight="1" s="24">
      <c r="A22" s="42" t="inlineStr">
        <is>
          <t>- D. Kanter, 'Transistor Count: A Flawed Metric', Real World Tech, 2020: https://www.realworldtech.com/transistor-count-flawed-metric/</t>
        </is>
      </c>
    </row>
    <row r="23" ht="15" customHeight="1" s="24">
      <c r="A23" s="42" t="inlineStr">
        <is>
          <t>- Transistor count (Wikipedia): https://en.wikipedia.org/wiki/Transistor_count</t>
        </is>
      </c>
    </row>
    <row r="24" ht="15" customHeight="1" s="24">
      <c r="A24" s="42" t="inlineStr">
        <is>
          <t>- Tukwila / Poulson: https://en.wikipedia.org/wiki/Tukwila_(processor)</t>
        </is>
      </c>
    </row>
    <row r="25" ht="15" customHeight="1" s="24">
      <c r="A25" s="42" t="inlineStr">
        <is>
          <t>- Apple silicon: https://en.wikipedia.org/wiki/Apple_silicon  (+ /Apple_A14, /Apple_A15, /Apple_A17, /Apple_M1)</t>
        </is>
      </c>
    </row>
    <row r="26" ht="15" customHeight="1" s="24">
      <c r="A26" s="42" t="inlineStr">
        <is>
          <t>- Intel microarchitectures: https://en.wikipedia.org/wiki/List_of_Intel_CPU_microarchitectures</t>
        </is>
      </c>
    </row>
    <row r="27" ht="15" customHeight="1" s="24">
      <c r="A27" s="42" t="inlineStr">
        <is>
          <t>- Raptor Lake estimate: https://forums.tomshardware.com/threads/how-many-transistors-on-raptor-lake-cpus.3791683/</t>
        </is>
      </c>
    </row>
    <row r="28" ht="15" customHeight="1" s="24">
      <c r="A28" s="42" t="inlineStr">
        <is>
          <t>- L3 die-area shares (Nehalem/Westmere), US Patent 9,710,181: https://image-ppubs.uspto.gov/dirsearch-public/print/downloadPdf/9710181</t>
        </is>
      </c>
    </row>
    <row r="29" ht="15" customHeight="1" s="24">
      <c r="A29" s="42" t="inlineStr">
        <is>
          <t>- AMD EPYC Rome / CCD / IOD counts: https://www.tomshardware.com/news/amd-64-core-epyc-cpu-die-design-architecture-ryzen-3000</t>
        </is>
      </c>
    </row>
    <row r="30" ht="15" customHeight="1" s="24">
      <c r="A30" s="42" t="inlineStr">
        <is>
          <t>- AMD Zen 4 CCD counts: https://www.techpowerup.com/298338/amd-zen-4-dies-transistor-counts-cache-sizes-and-latencies-detailed</t>
        </is>
      </c>
    </row>
    <row r="31" ht="15" customHeight="1" s="24">
      <c r="A31" s="42" t="inlineStr">
        <is>
          <t>- List of AMD processors: https://en.wikipedia.org/wiki/List_of_AMD_processors</t>
        </is>
      </c>
    </row>
    <row r="32" ht="15" customHeight="1" s="24">
      <c r="A32" s="42" t="inlineStr">
        <is>
          <t>- WikiChip floorplans: https://en.wikichip.org</t>
        </is>
      </c>
    </row>
    <row r="33" ht="15" customHeight="1" s="24">
      <c r="A33" s="42" t="n"/>
    </row>
    <row r="34" ht="15" customHeight="1" s="24">
      <c r="A34" s="42" t="inlineStr">
        <is>
          <t>Compiled June 2026. Best-available public data; treat estimated (yellow) cells accordingly.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7.35" customHeight="1" s="24">
      <c r="A1" s="25" t="inlineStr">
        <is>
          <t>Charts</t>
        </is>
      </c>
    </row>
    <row r="3" ht="15" customHeight="1" s="24">
      <c r="A3" s="44" t="inlineStr">
        <is>
          <t>Intel Year</t>
        </is>
      </c>
      <c r="B3" s="44" t="inlineStr">
        <is>
          <t>Intel Mtr</t>
        </is>
      </c>
      <c r="D3" s="44" t="inlineStr">
        <is>
          <t>Apple Year</t>
        </is>
      </c>
      <c r="E3" s="44" t="inlineStr">
        <is>
          <t>Apple Mtr</t>
        </is>
      </c>
      <c r="G3" s="44" t="inlineStr">
        <is>
          <t>AMD Year</t>
        </is>
      </c>
      <c r="H3" s="44" t="inlineStr">
        <is>
          <t>AMD Mtr</t>
        </is>
      </c>
    </row>
    <row r="4" ht="15" customHeight="1" s="24">
      <c r="A4" s="23" t="n">
        <v>1989</v>
      </c>
      <c r="B4" s="23" t="n">
        <v>1.18</v>
      </c>
      <c r="D4" s="23" t="n">
        <v>2013</v>
      </c>
      <c r="E4" s="23" t="n">
        <v>1000</v>
      </c>
      <c r="G4" s="23" t="n">
        <v>1997</v>
      </c>
      <c r="H4" s="23" t="n">
        <v>8.800000000000001</v>
      </c>
    </row>
    <row r="5" ht="15" customHeight="1" s="24">
      <c r="A5" s="23" t="n">
        <v>1993</v>
      </c>
      <c r="B5" s="23" t="n">
        <v>3.1</v>
      </c>
      <c r="D5" s="23" t="n">
        <v>2014</v>
      </c>
      <c r="E5" s="23" t="n">
        <v>2000</v>
      </c>
      <c r="G5" s="23" t="n">
        <v>2000</v>
      </c>
      <c r="H5" s="23" t="n">
        <v>37</v>
      </c>
    </row>
    <row r="6" ht="15" customHeight="1" s="24">
      <c r="A6" s="23" t="n">
        <v>1995</v>
      </c>
      <c r="B6" s="23" t="n">
        <v>5.5</v>
      </c>
      <c r="D6" s="23" t="n">
        <v>2014</v>
      </c>
      <c r="E6" s="23" t="n">
        <v>3000</v>
      </c>
      <c r="G6" s="23" t="n">
        <v>2003</v>
      </c>
      <c r="H6" s="23" t="n">
        <v>105.9</v>
      </c>
    </row>
    <row r="7" ht="15" customHeight="1" s="24">
      <c r="A7" s="23" t="n">
        <v>1997</v>
      </c>
      <c r="B7" s="23" t="n">
        <v>7.5</v>
      </c>
      <c r="D7" s="23" t="n">
        <v>2015</v>
      </c>
      <c r="E7" s="23" t="n">
        <v>2000</v>
      </c>
      <c r="G7" s="23" t="n">
        <v>2005</v>
      </c>
      <c r="H7" s="23" t="n">
        <v>233.2</v>
      </c>
    </row>
    <row r="8" ht="15" customHeight="1" s="24">
      <c r="A8" s="23" t="n">
        <v>2000</v>
      </c>
      <c r="B8" s="23" t="n">
        <v>28</v>
      </c>
      <c r="D8" s="23" t="n">
        <v>2015</v>
      </c>
      <c r="E8" s="23" t="n">
        <v>3300</v>
      </c>
      <c r="G8" s="23" t="n">
        <v>2007</v>
      </c>
      <c r="H8" s="23" t="n">
        <v>450</v>
      </c>
    </row>
    <row r="9" ht="15" customHeight="1" s="24">
      <c r="A9" s="23" t="n">
        <v>2000</v>
      </c>
      <c r="B9" s="23" t="n">
        <v>42</v>
      </c>
      <c r="D9" s="23" t="n">
        <v>2016</v>
      </c>
      <c r="E9" s="23" t="n">
        <v>3300</v>
      </c>
      <c r="G9" s="23" t="n">
        <v>2009</v>
      </c>
      <c r="H9" s="23" t="n">
        <v>758</v>
      </c>
    </row>
    <row r="10" ht="15" customHeight="1" s="24">
      <c r="A10" s="23" t="n">
        <v>2004</v>
      </c>
      <c r="B10" s="23" t="n">
        <v>125</v>
      </c>
      <c r="D10" s="23" t="n">
        <v>2017</v>
      </c>
      <c r="E10" s="23" t="n">
        <v>4300</v>
      </c>
      <c r="G10" s="23" t="n">
        <v>2011</v>
      </c>
      <c r="H10" s="23" t="n">
        <v>1200</v>
      </c>
    </row>
    <row r="11" ht="15" customHeight="1" s="24">
      <c r="A11" s="23" t="n">
        <v>2004</v>
      </c>
      <c r="B11" s="23" t="n">
        <v>592</v>
      </c>
      <c r="D11" s="23" t="n">
        <v>2018</v>
      </c>
      <c r="E11" s="23" t="n">
        <v>6900</v>
      </c>
      <c r="G11" s="23" t="n">
        <v>2017</v>
      </c>
      <c r="H11" s="23" t="n">
        <v>4800</v>
      </c>
    </row>
    <row r="12" ht="15" customHeight="1" s="24">
      <c r="A12" s="23" t="n">
        <v>2006</v>
      </c>
      <c r="B12" s="23" t="n">
        <v>291</v>
      </c>
      <c r="D12" s="23" t="n">
        <v>2019</v>
      </c>
      <c r="E12" s="23" t="n">
        <v>8500</v>
      </c>
      <c r="G12" s="23" t="n">
        <v>2019</v>
      </c>
      <c r="H12" s="23" t="n">
        <v>9890</v>
      </c>
    </row>
    <row r="13" ht="15" customHeight="1" s="24">
      <c r="A13" s="23" t="n">
        <v>2008</v>
      </c>
      <c r="B13" s="23" t="n">
        <v>731</v>
      </c>
      <c r="D13" s="23" t="n">
        <v>2020</v>
      </c>
      <c r="E13" s="23" t="n">
        <v>11800</v>
      </c>
      <c r="G13" s="23" t="n">
        <v>2019</v>
      </c>
      <c r="H13" s="23" t="n">
        <v>3900</v>
      </c>
    </row>
    <row r="14" ht="15" customHeight="1" s="24">
      <c r="A14" s="23" t="n">
        <v>2010</v>
      </c>
      <c r="B14" s="23" t="n">
        <v>1170</v>
      </c>
      <c r="D14" s="23" t="n">
        <v>2021</v>
      </c>
      <c r="E14" s="23" t="n">
        <v>15000</v>
      </c>
      <c r="G14" s="23" t="n">
        <v>2020</v>
      </c>
      <c r="H14" s="23" t="n">
        <v>4150</v>
      </c>
    </row>
    <row r="15" ht="15" customHeight="1" s="24">
      <c r="A15" s="23" t="n">
        <v>2010</v>
      </c>
      <c r="B15" s="23" t="n">
        <v>2000</v>
      </c>
      <c r="D15" s="23" t="n">
        <v>2022</v>
      </c>
      <c r="E15" s="23" t="n">
        <v>16000</v>
      </c>
      <c r="G15" s="23" t="n">
        <v>2022</v>
      </c>
      <c r="H15" s="23" t="n">
        <v>6570</v>
      </c>
    </row>
    <row r="16" ht="15" customHeight="1" s="24">
      <c r="A16" s="23" t="n">
        <v>2010</v>
      </c>
      <c r="B16" s="23" t="n">
        <v>2300</v>
      </c>
      <c r="D16" s="23" t="n">
        <v>2023</v>
      </c>
      <c r="E16" s="23" t="n">
        <v>19000</v>
      </c>
      <c r="G16" s="23" t="n">
        <v>2019</v>
      </c>
      <c r="H16" s="23" t="n">
        <v>39540</v>
      </c>
    </row>
    <row r="17" ht="15" customHeight="1" s="24">
      <c r="A17" s="23" t="n">
        <v>2011</v>
      </c>
      <c r="B17" s="23" t="n">
        <v>1160</v>
      </c>
      <c r="D17" s="23" t="n">
        <v>2020</v>
      </c>
      <c r="E17" s="23" t="n">
        <v>16000</v>
      </c>
    </row>
    <row r="18" ht="15" customHeight="1" s="24">
      <c r="A18" s="23" t="n">
        <v>2012</v>
      </c>
      <c r="B18" s="23" t="n">
        <v>1400</v>
      </c>
      <c r="D18" s="23" t="n">
        <v>2021</v>
      </c>
      <c r="E18" s="23" t="n">
        <v>57000</v>
      </c>
    </row>
    <row r="19" ht="15" customHeight="1" s="24">
      <c r="A19" s="23" t="n">
        <v>2012</v>
      </c>
      <c r="B19" s="23" t="n">
        <v>3100</v>
      </c>
      <c r="D19" s="23" t="n">
        <v>2022</v>
      </c>
      <c r="E19" s="23" t="n">
        <v>114000</v>
      </c>
    </row>
    <row r="20" ht="15" customHeight="1" s="24">
      <c r="A20" s="23" t="n">
        <v>2012</v>
      </c>
      <c r="B20" s="23" t="n">
        <v>5000</v>
      </c>
      <c r="D20" s="23" t="n">
        <v>2022</v>
      </c>
      <c r="E20" s="23" t="n">
        <v>20000</v>
      </c>
    </row>
    <row r="21" ht="15" customHeight="1" s="24">
      <c r="A21" s="23" t="n">
        <v>2013</v>
      </c>
      <c r="B21" s="23" t="n">
        <v>1400</v>
      </c>
      <c r="D21" s="23" t="n">
        <v>2023</v>
      </c>
      <c r="E21" s="23" t="n">
        <v>134000</v>
      </c>
    </row>
    <row r="22" ht="15" customHeight="1" s="24">
      <c r="A22" s="23" t="n">
        <v>2015</v>
      </c>
      <c r="B22" s="23" t="n">
        <v>1750</v>
      </c>
      <c r="D22" s="23" t="n">
        <v>2023</v>
      </c>
      <c r="E22" s="23" t="n">
        <v>25000</v>
      </c>
    </row>
    <row r="23" ht="15" customHeight="1" s="24">
      <c r="A23" s="23" t="n">
        <v>2016</v>
      </c>
      <c r="B23" s="23" t="n">
        <v>7200</v>
      </c>
    </row>
    <row r="24" ht="15" customHeight="1" s="24">
      <c r="A24" s="44" t="inlineStr">
        <is>
          <t>Year</t>
        </is>
      </c>
      <c r="B24" s="44" t="inlineStr">
        <is>
          <t>Cache share</t>
        </is>
      </c>
    </row>
    <row r="25" ht="15" customHeight="1" s="24">
      <c r="A25" s="23" t="n">
        <v>1989</v>
      </c>
      <c r="B25" s="45" t="n">
        <v>0.3332</v>
      </c>
    </row>
    <row r="26" ht="15" customHeight="1" s="24">
      <c r="A26" s="23" t="n">
        <v>1993</v>
      </c>
      <c r="B26" s="45" t="n">
        <v>0.2537</v>
      </c>
    </row>
    <row r="27" ht="15" customHeight="1" s="24">
      <c r="A27" s="23" t="n">
        <v>1995</v>
      </c>
      <c r="B27" s="45" t="n">
        <v>0.143</v>
      </c>
    </row>
    <row r="28" ht="15" customHeight="1" s="24">
      <c r="A28" s="23" t="n">
        <v>1997</v>
      </c>
      <c r="B28" s="45" t="n">
        <v>0.2097</v>
      </c>
    </row>
    <row r="29" ht="15" customHeight="1" s="24">
      <c r="A29" s="23" t="n">
        <v>1997</v>
      </c>
      <c r="B29" s="45" t="n">
        <v>0.3575</v>
      </c>
    </row>
    <row r="30" ht="15" customHeight="1" s="24">
      <c r="A30" s="23" t="n">
        <v>2000</v>
      </c>
      <c r="B30" s="45" t="n">
        <v>0.5056</v>
      </c>
    </row>
    <row r="31" ht="15" customHeight="1" s="24">
      <c r="A31" s="23" t="n">
        <v>2000</v>
      </c>
      <c r="B31" s="45" t="n">
        <v>0.309</v>
      </c>
    </row>
    <row r="32" ht="15" customHeight="1" s="24">
      <c r="A32" s="23" t="n">
        <v>2000</v>
      </c>
      <c r="B32" s="45" t="n">
        <v>0.5101</v>
      </c>
    </row>
    <row r="33" ht="15" customHeight="1" s="24">
      <c r="A33" s="23" t="n">
        <v>2003</v>
      </c>
      <c r="B33" s="45" t="n">
        <v>0.5347</v>
      </c>
    </row>
    <row r="34" ht="15" customHeight="1" s="24">
      <c r="A34" s="23" t="n">
        <v>2004</v>
      </c>
      <c r="B34" s="45" t="n">
        <v>0.4089</v>
      </c>
    </row>
    <row r="35" ht="15" customHeight="1" s="24">
      <c r="A35" s="23" t="n">
        <v>2004</v>
      </c>
      <c r="B35" s="45" t="n">
        <v>0.7891</v>
      </c>
    </row>
    <row r="36" ht="15" customHeight="1" s="24">
      <c r="A36" s="23" t="n">
        <v>2005</v>
      </c>
      <c r="B36" s="45" t="n">
        <v>0.4856</v>
      </c>
    </row>
    <row r="37" ht="15" customHeight="1" s="24">
      <c r="A37" s="23" t="n">
        <v>2006</v>
      </c>
      <c r="B37" s="45" t="n">
        <v>0.7135</v>
      </c>
    </row>
    <row r="38" ht="15" customHeight="1" s="24">
      <c r="A38" s="23" t="n">
        <v>2008</v>
      </c>
      <c r="B38" s="45" t="n">
        <v>0.6369</v>
      </c>
    </row>
    <row r="39" ht="15" customHeight="1" s="24">
      <c r="A39" s="23" t="n">
        <v>2009</v>
      </c>
      <c r="B39" s="45" t="n">
        <v>0.5644</v>
      </c>
    </row>
    <row r="40" ht="15" customHeight="1" s="24">
      <c r="A40" s="23" t="n">
        <v>2010</v>
      </c>
      <c r="B40" s="45" t="n">
        <v>0.57</v>
      </c>
    </row>
    <row r="41" ht="15" customHeight="1" s="24">
      <c r="A41" s="23" t="n">
        <v>2010</v>
      </c>
      <c r="B41" s="45" t="n">
        <v>0.6291</v>
      </c>
    </row>
    <row r="42" ht="15" customHeight="1" s="24">
      <c r="A42" s="23" t="n">
        <v>2010</v>
      </c>
      <c r="B42" s="45" t="n">
        <v>0.5471</v>
      </c>
    </row>
    <row r="43" ht="15" customHeight="1" s="24">
      <c r="A43" s="23" t="n">
        <v>2011</v>
      </c>
      <c r="B43" s="45" t="n">
        <v>0.4014</v>
      </c>
    </row>
    <row r="44" ht="15" customHeight="1" s="24">
      <c r="A44" s="23" t="n">
        <v>2011</v>
      </c>
      <c r="B44" s="45" t="n">
        <v>0.6711</v>
      </c>
    </row>
    <row r="45" ht="15" customHeight="1" s="24">
      <c r="A45" s="44" t="inlineStr">
        <is>
          <t>Year</t>
        </is>
      </c>
      <c r="B45" s="46" t="inlineStr">
        <is>
          <t>Intel</t>
        </is>
      </c>
      <c r="C45" s="44" t="inlineStr">
        <is>
          <t>Apple/Arm</t>
        </is>
      </c>
      <c r="D45" s="44" t="inlineStr">
        <is>
          <t>AMD</t>
        </is>
      </c>
    </row>
    <row r="46" ht="15" customHeight="1" s="24">
      <c r="A46" s="23" t="n">
        <v>1989</v>
      </c>
      <c r="B46" s="45" t="n">
        <v>0</v>
      </c>
    </row>
    <row r="47" ht="15" customHeight="1" s="24">
      <c r="A47" s="23" t="n">
        <v>1993</v>
      </c>
      <c r="B47" s="45" t="n">
        <v>0</v>
      </c>
    </row>
    <row r="48" ht="15" customHeight="1" s="24">
      <c r="A48" s="23" t="n">
        <v>1995</v>
      </c>
      <c r="B48" s="45" t="n">
        <v>0</v>
      </c>
    </row>
    <row r="49" ht="15" customHeight="1" s="24">
      <c r="A49" s="23" t="n">
        <v>1997</v>
      </c>
      <c r="B49" s="45" t="n">
        <v>0</v>
      </c>
    </row>
    <row r="50" ht="15" customHeight="1" s="24">
      <c r="A50" s="23" t="n">
        <v>1997</v>
      </c>
      <c r="B50" s="45" t="n">
        <v>0.266</v>
      </c>
      <c r="D50" s="23" t="n">
        <v>0.1</v>
      </c>
    </row>
    <row r="51" ht="15" customHeight="1" s="24">
      <c r="A51" s="23" t="n">
        <v>2000</v>
      </c>
      <c r="B51" s="45" t="n">
        <v>0.3</v>
      </c>
    </row>
    <row r="52" ht="15" customHeight="1" s="24">
      <c r="A52" s="23" t="n">
        <v>2000</v>
      </c>
      <c r="B52" s="45" t="n">
        <v>0.2</v>
      </c>
    </row>
    <row r="53" ht="15" customHeight="1" s="24">
      <c r="A53" s="23" t="n">
        <v>2000</v>
      </c>
      <c r="B53" s="45" t="n">
        <v>0.4745</v>
      </c>
      <c r="D53" s="23" t="n">
        <v>0.3</v>
      </c>
    </row>
    <row r="54" ht="15" customHeight="1" s="24">
      <c r="A54" s="23" t="n">
        <v>2003</v>
      </c>
      <c r="B54" s="45" t="n">
        <v>0.4459</v>
      </c>
      <c r="D54" s="23" t="n">
        <v>0.5</v>
      </c>
    </row>
    <row r="55" ht="15" customHeight="1" s="24">
      <c r="A55" s="23" t="n">
        <v>2004</v>
      </c>
      <c r="B55" s="45" t="n">
        <v>1.1</v>
      </c>
    </row>
    <row r="56" ht="15" customHeight="1" s="24">
      <c r="A56" s="23" t="n">
        <v>2004</v>
      </c>
      <c r="B56" s="45" t="n">
        <v>1.4</v>
      </c>
    </row>
    <row r="57" ht="15" customHeight="1" s="24">
      <c r="A57" s="23" t="n">
        <v>2005</v>
      </c>
      <c r="D57" s="23" t="n">
        <v>1.2</v>
      </c>
    </row>
    <row r="58" ht="15" customHeight="1" s="24">
      <c r="A58" s="23" t="n">
        <v>2006</v>
      </c>
      <c r="B58" s="23" t="n">
        <v>2</v>
      </c>
    </row>
    <row r="59" ht="15" customHeight="1" s="24">
      <c r="A59" s="23" t="n">
        <v>2007</v>
      </c>
      <c r="D59" s="23" t="n">
        <v>1.6</v>
      </c>
    </row>
    <row r="60" ht="15" customHeight="1" s="24">
      <c r="A60" s="23" t="n">
        <v>2008</v>
      </c>
      <c r="B60" s="23" t="n">
        <v>2.8</v>
      </c>
    </row>
    <row r="61" ht="15" customHeight="1" s="24">
      <c r="A61" s="23" t="n">
        <v>2009</v>
      </c>
      <c r="D61" s="23" t="n">
        <v>2.9</v>
      </c>
    </row>
    <row r="62" ht="15" customHeight="1" s="24">
      <c r="A62" s="23" t="n">
        <v>2010</v>
      </c>
      <c r="B62" s="23" t="n">
        <v>4.9</v>
      </c>
    </row>
    <row r="63" ht="15" customHeight="1" s="24">
      <c r="A63" s="23" t="n">
        <v>2010</v>
      </c>
      <c r="B63" s="23" t="n">
        <v>2.9</v>
      </c>
    </row>
    <row r="64" ht="15" customHeight="1" s="24">
      <c r="A64" s="23" t="n">
        <v>2010</v>
      </c>
      <c r="B64" s="23" t="n">
        <v>3.4</v>
      </c>
    </row>
    <row r="65" ht="15" customHeight="1" s="24">
      <c r="A65" s="23" t="n">
        <v>2011</v>
      </c>
      <c r="B65" s="23" t="n">
        <v>5.4</v>
      </c>
    </row>
    <row r="66" ht="15" customHeight="1" s="24">
      <c r="A66" s="23" t="n">
        <v>2011</v>
      </c>
      <c r="D66" s="23" t="n">
        <v>3.8</v>
      </c>
    </row>
    <row r="67" ht="15" customHeight="1" s="24">
      <c r="A67" s="23" t="n">
        <v>2012</v>
      </c>
      <c r="B67" s="23" t="n">
        <v>8.800000000000001</v>
      </c>
    </row>
    <row r="68" ht="15" customHeight="1" s="24">
      <c r="A68" s="23" t="n">
        <v>2012</v>
      </c>
      <c r="B68" s="23" t="n">
        <v>5.7</v>
      </c>
    </row>
    <row r="69" ht="15" customHeight="1" s="24">
      <c r="A69" s="23" t="n">
        <v>2012</v>
      </c>
      <c r="B69" s="23" t="n">
        <v>6.9</v>
      </c>
    </row>
    <row r="70" ht="15" customHeight="1" s="24">
      <c r="A70" s="23" t="n">
        <v>2013</v>
      </c>
      <c r="B70" s="23" t="n">
        <v>7.9</v>
      </c>
    </row>
    <row r="71" ht="15" customHeight="1" s="24">
      <c r="A71" s="23" t="n">
        <v>2013</v>
      </c>
      <c r="C71" s="23" t="n">
        <v>9.800000000000001</v>
      </c>
    </row>
    <row r="72" ht="15" customHeight="1" s="24">
      <c r="A72" s="23" t="n">
        <v>2014</v>
      </c>
      <c r="C72" s="23" t="n">
        <v>22.5</v>
      </c>
    </row>
    <row r="73" ht="15" customHeight="1" s="24">
      <c r="A73" s="23" t="n">
        <v>2014</v>
      </c>
      <c r="C73" s="23" t="n">
        <v>23.4</v>
      </c>
    </row>
    <row r="74" ht="15" customHeight="1" s="24">
      <c r="A74" s="23" t="n">
        <v>2015</v>
      </c>
      <c r="B74" s="23" t="n">
        <v>14.3</v>
      </c>
    </row>
    <row r="75" ht="15" customHeight="1" s="24">
      <c r="A75" s="23" t="n">
        <v>2015</v>
      </c>
      <c r="C75" s="23" t="n">
        <v>20.8</v>
      </c>
    </row>
    <row r="76" ht="15" customHeight="1" s="24">
      <c r="A76" s="23" t="n">
        <v>2015</v>
      </c>
      <c r="C76" s="23" t="n">
        <v>22.4</v>
      </c>
    </row>
    <row r="77" ht="15" customHeight="1" s="24">
      <c r="A77" s="23" t="n">
        <v>2016</v>
      </c>
      <c r="B77" s="23" t="n">
        <v>15.8</v>
      </c>
    </row>
    <row r="78" ht="15" customHeight="1" s="24">
      <c r="A78" s="23" t="n">
        <v>2016</v>
      </c>
      <c r="C78" s="23" t="n">
        <v>26.4</v>
      </c>
    </row>
    <row r="79" ht="15" customHeight="1" s="24">
      <c r="A79" s="23" t="n">
        <v>2017</v>
      </c>
      <c r="C79" s="23" t="n">
        <v>49.1</v>
      </c>
    </row>
    <row r="80" ht="15" customHeight="1" s="24">
      <c r="A80" s="23" t="n">
        <v>2017</v>
      </c>
      <c r="D80" s="23" t="n">
        <v>22.5</v>
      </c>
    </row>
    <row r="81" ht="15" customHeight="1" s="24">
      <c r="A81" s="23" t="n">
        <v>2018</v>
      </c>
      <c r="C81" s="23" t="n">
        <v>82.90000000000001</v>
      </c>
    </row>
    <row r="82" ht="15" customHeight="1" s="24">
      <c r="A82" s="23" t="n">
        <v>2019</v>
      </c>
      <c r="C82" s="23" t="n">
        <v>86.3</v>
      </c>
    </row>
    <row r="83" ht="15" customHeight="1" s="24">
      <c r="A83" s="23" t="n">
        <v>2019</v>
      </c>
      <c r="D83" s="23" t="n">
        <v>36.2</v>
      </c>
    </row>
    <row r="84" ht="15" customHeight="1" s="24">
      <c r="A84" s="23" t="n">
        <v>2019</v>
      </c>
      <c r="D84" s="23" t="n">
        <v>52.7</v>
      </c>
    </row>
    <row r="85" ht="15" customHeight="1" s="24">
      <c r="A85" s="23" t="n">
        <v>2019</v>
      </c>
      <c r="D85" s="23" t="n">
        <v>39.2</v>
      </c>
    </row>
    <row r="86" ht="15" customHeight="1" s="24">
      <c r="A86" s="23" t="n">
        <v>2020</v>
      </c>
      <c r="C86" s="23" t="n">
        <v>134.1</v>
      </c>
    </row>
    <row r="87" ht="15" customHeight="1" s="24">
      <c r="A87" s="23" t="n">
        <v>2020</v>
      </c>
      <c r="C87" s="23" t="n">
        <v>134.5</v>
      </c>
    </row>
    <row r="88" ht="15" customHeight="1" s="24">
      <c r="A88" s="23" t="n">
        <v>2020</v>
      </c>
      <c r="D88" s="23" t="n">
        <v>50</v>
      </c>
    </row>
    <row r="89" ht="15" customHeight="1" s="24">
      <c r="A89" s="23" t="n">
        <v>2021</v>
      </c>
      <c r="C89" s="23" t="n">
        <v>139.3</v>
      </c>
    </row>
    <row r="90" ht="15" customHeight="1" s="24">
      <c r="A90" s="23" t="n">
        <v>2021</v>
      </c>
      <c r="C90" s="23" t="n">
        <v>131.9</v>
      </c>
    </row>
    <row r="91" ht="15" customHeight="1" s="24">
      <c r="A91" s="23" t="n">
        <v>2022</v>
      </c>
      <c r="B91" s="23" t="n">
        <v>100.8</v>
      </c>
    </row>
    <row r="92" ht="15" customHeight="1" s="24">
      <c r="A92" s="23" t="n">
        <v>2022</v>
      </c>
      <c r="C92" s="23" t="n">
        <v>135.7</v>
      </c>
    </row>
    <row r="93" ht="15" customHeight="1" s="24">
      <c r="A93" s="23" t="n">
        <v>2022</v>
      </c>
      <c r="C93" s="23" t="n">
        <v>129</v>
      </c>
    </row>
    <row r="94" ht="15" customHeight="1" s="24">
      <c r="A94" s="23" t="n">
        <v>2022</v>
      </c>
      <c r="D94" s="23" t="n">
        <v>93.90000000000001</v>
      </c>
    </row>
    <row r="95" ht="15" customHeight="1" s="24">
      <c r="A95" s="23" t="n">
        <v>2023</v>
      </c>
      <c r="C95" s="23" t="n">
        <v>184.5</v>
      </c>
    </row>
    <row r="96" ht="15" customHeight="1" s="24">
      <c r="A96" s="23" t="n">
        <v>2023</v>
      </c>
      <c r="C96" s="23" t="n">
        <v>171.2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2026-06-22T02:43:02Z</dcterms:created>
  <dcterms:modified xmlns:dcterms="http://purl.org/dc/terms/" xmlns:xsi="http://www.w3.org/2001/XMLSchema-instance" xsi:type="dcterms:W3CDTF">2026-06-22T03:55:27Z</dcterms:modified>
  <cp:revision>1</cp:revision>
</cp:coreProperties>
</file>