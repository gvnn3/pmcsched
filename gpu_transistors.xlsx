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nsistor Counts" sheetId="1" state="visible" r:id="rId1"/>
    <sheet xmlns:r="http://schemas.openxmlformats.org/officeDocument/2006/relationships" name="Cache Share (6T model)" sheetId="2" state="visible" r:id="rId2"/>
    <sheet xmlns:r="http://schemas.openxmlformats.org/officeDocument/2006/relationships" name="Documented Splits" sheetId="3" state="visible" r:id="rId3"/>
    <sheet xmlns:r="http://schemas.openxmlformats.org/officeDocument/2006/relationships" name="Notes &amp; Sources" sheetId="4" state="visible" r:id="rId4"/>
    <sheet xmlns:r="http://schemas.openxmlformats.org/officeDocument/2006/relationships" name="Char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4323B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4323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4323B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5" fontId="9" fillId="0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5" fontId="9" fillId="0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32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2296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82296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82296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30" customWidth="1" style="22" min="2" max="2"/>
    <col width="20" customWidth="1" style="22" min="3" max="3"/>
    <col width="7" customWidth="1" style="22" min="4" max="4"/>
    <col width="12" customWidth="1" style="22" min="5" max="5"/>
    <col width="16" customWidth="1" style="22" min="6" max="6"/>
    <col width="11" customWidth="1" style="22" min="7" max="7"/>
    <col width="12" customWidth="1" style="22" min="8" max="8"/>
    <col width="14" customWidth="1" style="22" min="9" max="9"/>
    <col width="16" customWidth="1" style="22" min="10" max="10"/>
    <col width="50" customWidth="1" style="22" min="11" max="11"/>
  </cols>
  <sheetData>
    <row r="1" ht="17.35" customHeight="1" s="23">
      <c r="A1" s="24" t="inlineStr">
        <is>
          <t>GPU Transistor Counts by Function (proxy) - NVIDIA, AMD &amp; Intel, 1999-present</t>
        </is>
      </c>
    </row>
    <row r="2" ht="15" customHeight="1" s="23">
      <c r="A2" s="25" t="inlineStr">
        <is>
          <t>Yellow = estimated. Density &amp; cache-share columns computed by formula. LLC = L2 (NVIDIA/Intel) or Infinity Cache L3 (AMD RDNA2+).</t>
        </is>
      </c>
    </row>
    <row r="4" ht="23.85" customHeight="1" s="23">
      <c r="A4" s="26" t="inlineStr">
        <is>
          <t>Vendor</t>
        </is>
      </c>
      <c r="B4" s="26" t="inlineStr">
        <is>
          <t>GPU (die)</t>
        </is>
      </c>
      <c r="C4" s="26" t="inlineStr">
        <is>
          <t>Architecture</t>
        </is>
      </c>
      <c r="D4" s="26" t="inlineStr">
        <is>
          <t>Year</t>
        </is>
      </c>
      <c r="E4" s="26" t="inlineStr">
        <is>
          <t>Process node</t>
        </is>
      </c>
      <c r="F4" s="26" t="inlineStr">
        <is>
          <t>Transistors (millions)</t>
        </is>
      </c>
      <c r="G4" s="26" t="inlineStr">
        <is>
          <t>Count basis</t>
        </is>
      </c>
      <c r="H4" s="26" t="inlineStr">
        <is>
          <t>Die area (mm2)</t>
        </is>
      </c>
      <c r="I4" s="26" t="inlineStr">
        <is>
          <t>Density (Mtr/mm2)</t>
        </is>
      </c>
      <c r="J4" s="26" t="inlineStr">
        <is>
          <t>Last-level cache (KB)</t>
        </is>
      </c>
      <c r="K4" s="26" t="inlineStr">
        <is>
          <t>Notes</t>
        </is>
      </c>
    </row>
    <row r="5" ht="15" customHeight="1" s="23">
      <c r="A5" s="27" t="inlineStr">
        <is>
          <t>NVIDIA</t>
        </is>
      </c>
      <c r="B5" s="27" t="inlineStr">
        <is>
          <t>GeForce 256 (NV10)</t>
        </is>
      </c>
      <c r="C5" s="27" t="inlineStr">
        <is>
          <t>Celsius</t>
        </is>
      </c>
      <c r="D5" s="28" t="inlineStr">
        <is>
          <t>1999</t>
        </is>
      </c>
      <c r="E5" s="28" t="inlineStr">
        <is>
          <t>220</t>
        </is>
      </c>
      <c r="F5" s="29" t="n">
        <v>23</v>
      </c>
      <c r="G5" s="28" t="inlineStr">
        <is>
          <t>Official</t>
        </is>
      </c>
      <c r="H5" s="30" t="n">
        <v>139</v>
      </c>
      <c r="I5" s="30">
        <f>IF(AND(ISNUMBER(F5),ISNUMBER(H5),H5&gt;0),F5/H5,"")</f>
        <v/>
      </c>
      <c r="J5" s="27" t="n"/>
      <c r="K5" s="31" t="inlineStr">
        <is>
          <t>Fixed-function; only tiny texture caches</t>
        </is>
      </c>
    </row>
    <row r="6" ht="15" customHeight="1" s="23">
      <c r="A6" s="27" t="inlineStr">
        <is>
          <t>NVIDIA</t>
        </is>
      </c>
      <c r="B6" s="27" t="inlineStr">
        <is>
          <t>GeForce3 (NV20)</t>
        </is>
      </c>
      <c r="C6" s="27" t="inlineStr">
        <is>
          <t>Kelvin</t>
        </is>
      </c>
      <c r="D6" s="28" t="inlineStr">
        <is>
          <t>2001</t>
        </is>
      </c>
      <c r="E6" s="28" t="inlineStr">
        <is>
          <t>150</t>
        </is>
      </c>
      <c r="F6" s="29" t="n">
        <v>57</v>
      </c>
      <c r="G6" s="28" t="inlineStr">
        <is>
          <t>Official</t>
        </is>
      </c>
      <c r="H6" s="30" t="n">
        <v>128</v>
      </c>
      <c r="I6" s="30">
        <f>IF(AND(ISNUMBER(F6),ISNUMBER(H6),H6&gt;0),F6/H6,"")</f>
        <v/>
      </c>
      <c r="J6" s="27" t="n"/>
      <c r="K6" s="31" t="inlineStr">
        <is>
          <t>Programmable shaders introduced</t>
        </is>
      </c>
    </row>
    <row r="7" ht="15" customHeight="1" s="23">
      <c r="A7" s="27" t="inlineStr">
        <is>
          <t>NVIDIA</t>
        </is>
      </c>
      <c r="B7" s="27" t="inlineStr">
        <is>
          <t>GeForce FX 5800 (NV30)</t>
        </is>
      </c>
      <c r="C7" s="27" t="inlineStr">
        <is>
          <t>Rankine</t>
        </is>
      </c>
      <c r="D7" s="28" t="inlineStr">
        <is>
          <t>2003</t>
        </is>
      </c>
      <c r="E7" s="28" t="inlineStr">
        <is>
          <t>130</t>
        </is>
      </c>
      <c r="F7" s="29" t="n">
        <v>125</v>
      </c>
      <c r="G7" s="28" t="inlineStr">
        <is>
          <t>Official</t>
        </is>
      </c>
      <c r="H7" s="30" t="n">
        <v>199</v>
      </c>
      <c r="I7" s="30">
        <f>IF(AND(ISNUMBER(F7),ISNUMBER(H7),H7&gt;0),F7/H7,"")</f>
        <v/>
      </c>
      <c r="J7" s="27" t="n"/>
      <c r="K7" s="31" t="n"/>
    </row>
    <row r="8" ht="15" customHeight="1" s="23">
      <c r="A8" s="27" t="inlineStr">
        <is>
          <t>NVIDIA</t>
        </is>
      </c>
      <c r="B8" s="27" t="inlineStr">
        <is>
          <t>GeForce 6800 Ultra (NV40)</t>
        </is>
      </c>
      <c r="C8" s="27" t="inlineStr">
        <is>
          <t>Curie</t>
        </is>
      </c>
      <c r="D8" s="28" t="inlineStr">
        <is>
          <t>2004</t>
        </is>
      </c>
      <c r="E8" s="28" t="inlineStr">
        <is>
          <t>130</t>
        </is>
      </c>
      <c r="F8" s="29" t="n">
        <v>222</v>
      </c>
      <c r="G8" s="28" t="inlineStr">
        <is>
          <t>Official</t>
        </is>
      </c>
      <c r="H8" s="30" t="n">
        <v>287</v>
      </c>
      <c r="I8" s="30">
        <f>IF(AND(ISNUMBER(F8),ISNUMBER(H8),H8&gt;0),F8/H8,"")</f>
        <v/>
      </c>
      <c r="J8" s="27" t="n"/>
      <c r="K8" s="31" t="n"/>
    </row>
    <row r="9" ht="15" customHeight="1" s="23">
      <c r="A9" s="27" t="inlineStr">
        <is>
          <t>NVIDIA</t>
        </is>
      </c>
      <c r="B9" s="27" t="inlineStr">
        <is>
          <t>GeForce 7800 GTX (G70)</t>
        </is>
      </c>
      <c r="C9" s="27" t="inlineStr">
        <is>
          <t>Curie</t>
        </is>
      </c>
      <c r="D9" s="28" t="inlineStr">
        <is>
          <t>2005</t>
        </is>
      </c>
      <c r="E9" s="28" t="inlineStr">
        <is>
          <t>110</t>
        </is>
      </c>
      <c r="F9" s="29" t="n">
        <v>302</v>
      </c>
      <c r="G9" s="28" t="inlineStr">
        <is>
          <t>Official</t>
        </is>
      </c>
      <c r="H9" s="30" t="n">
        <v>333</v>
      </c>
      <c r="I9" s="30">
        <f>IF(AND(ISNUMBER(F9),ISNUMBER(H9),H9&gt;0),F9/H9,"")</f>
        <v/>
      </c>
      <c r="J9" s="27" t="n"/>
      <c r="K9" s="31" t="n"/>
    </row>
    <row r="10" ht="15" customHeight="1" s="23">
      <c r="A10" s="27" t="inlineStr">
        <is>
          <t>NVIDIA</t>
        </is>
      </c>
      <c r="B10" s="27" t="inlineStr">
        <is>
          <t>GeForce 8800 GTX (G80)</t>
        </is>
      </c>
      <c r="C10" s="27" t="inlineStr">
        <is>
          <t>Tesla</t>
        </is>
      </c>
      <c r="D10" s="28" t="inlineStr">
        <is>
          <t>2006</t>
        </is>
      </c>
      <c r="E10" s="28" t="inlineStr">
        <is>
          <t>90</t>
        </is>
      </c>
      <c r="F10" s="29" t="n">
        <v>681</v>
      </c>
      <c r="G10" s="28" t="inlineStr">
        <is>
          <t>Official</t>
        </is>
      </c>
      <c r="H10" s="30" t="n">
        <v>484</v>
      </c>
      <c r="I10" s="30">
        <f>IF(AND(ISNUMBER(F10),ISNUMBER(H10),H10&gt;0),F10/H10,"")</f>
        <v/>
      </c>
      <c r="J10" s="27" t="n"/>
      <c r="K10" s="31" t="inlineStr">
        <is>
          <t>First unified shaders; negligible LLC</t>
        </is>
      </c>
    </row>
    <row r="11" ht="15" customHeight="1" s="23">
      <c r="A11" s="27" t="inlineStr">
        <is>
          <t>NVIDIA</t>
        </is>
      </c>
      <c r="B11" s="27" t="inlineStr">
        <is>
          <t>GeForce GTX 280 (GT200)</t>
        </is>
      </c>
      <c r="C11" s="27" t="inlineStr">
        <is>
          <t>Tesla</t>
        </is>
      </c>
      <c r="D11" s="28" t="inlineStr">
        <is>
          <t>2008</t>
        </is>
      </c>
      <c r="E11" s="28" t="inlineStr">
        <is>
          <t>65</t>
        </is>
      </c>
      <c r="F11" s="29" t="n">
        <v>1400</v>
      </c>
      <c r="G11" s="28" t="inlineStr">
        <is>
          <t>Official</t>
        </is>
      </c>
      <c r="H11" s="30" t="n">
        <v>576</v>
      </c>
      <c r="I11" s="30">
        <f>IF(AND(ISNUMBER(F11),ISNUMBER(H11),H11&gt;0),F11/H11,"")</f>
        <v/>
      </c>
      <c r="J11" s="27" t="n"/>
      <c r="K11" s="31" t="n"/>
    </row>
    <row r="12" ht="15" customHeight="1" s="23">
      <c r="A12" s="27" t="inlineStr">
        <is>
          <t>NVIDIA</t>
        </is>
      </c>
      <c r="B12" s="27" t="inlineStr">
        <is>
          <t>GeForce GTX 480 (GF100)</t>
        </is>
      </c>
      <c r="C12" s="27" t="inlineStr">
        <is>
          <t>Fermi</t>
        </is>
      </c>
      <c r="D12" s="28" t="inlineStr">
        <is>
          <t>2010</t>
        </is>
      </c>
      <c r="E12" s="28" t="inlineStr">
        <is>
          <t>40</t>
        </is>
      </c>
      <c r="F12" s="29" t="n">
        <v>3000</v>
      </c>
      <c r="G12" s="28" t="inlineStr">
        <is>
          <t>Official</t>
        </is>
      </c>
      <c r="H12" s="30" t="n">
        <v>529</v>
      </c>
      <c r="I12" s="30">
        <f>IF(AND(ISNUMBER(F12),ISNUMBER(H12),H12&gt;0),F12/H12,"")</f>
        <v/>
      </c>
      <c r="J12" s="29" t="n">
        <v>768</v>
      </c>
      <c r="K12" s="31" t="inlineStr">
        <is>
          <t>First true L2 (768 KB)</t>
        </is>
      </c>
    </row>
    <row r="13" ht="15" customHeight="1" s="23">
      <c r="A13" s="27" t="inlineStr">
        <is>
          <t>NVIDIA</t>
        </is>
      </c>
      <c r="B13" s="27" t="inlineStr">
        <is>
          <t>GeForce GTX 680 (GK104)</t>
        </is>
      </c>
      <c r="C13" s="27" t="inlineStr">
        <is>
          <t>Kepler</t>
        </is>
      </c>
      <c r="D13" s="28" t="inlineStr">
        <is>
          <t>2012</t>
        </is>
      </c>
      <c r="E13" s="28" t="inlineStr">
        <is>
          <t>28</t>
        </is>
      </c>
      <c r="F13" s="29" t="n">
        <v>3540</v>
      </c>
      <c r="G13" s="28" t="inlineStr">
        <is>
          <t>Official</t>
        </is>
      </c>
      <c r="H13" s="30" t="n">
        <v>294</v>
      </c>
      <c r="I13" s="30">
        <f>IF(AND(ISNUMBER(F13),ISNUMBER(H13),H13&gt;0),F13/H13,"")</f>
        <v/>
      </c>
      <c r="J13" s="29" t="n">
        <v>512</v>
      </c>
      <c r="K13" s="31" t="n"/>
    </row>
    <row r="14" ht="15" customHeight="1" s="23">
      <c r="A14" s="27" t="inlineStr">
        <is>
          <t>NVIDIA</t>
        </is>
      </c>
      <c r="B14" s="27" t="inlineStr">
        <is>
          <t>GTX 780 Ti / Titan (GK110)</t>
        </is>
      </c>
      <c r="C14" s="27" t="inlineStr">
        <is>
          <t>Kepler</t>
        </is>
      </c>
      <c r="D14" s="28" t="inlineStr">
        <is>
          <t>2013</t>
        </is>
      </c>
      <c r="E14" s="28" t="inlineStr">
        <is>
          <t>28</t>
        </is>
      </c>
      <c r="F14" s="29" t="n">
        <v>7080</v>
      </c>
      <c r="G14" s="28" t="inlineStr">
        <is>
          <t>Official</t>
        </is>
      </c>
      <c r="H14" s="30" t="n">
        <v>561</v>
      </c>
      <c r="I14" s="30">
        <f>IF(AND(ISNUMBER(F14),ISNUMBER(H14),H14&gt;0),F14/H14,"")</f>
        <v/>
      </c>
      <c r="J14" s="29" t="n">
        <v>1536</v>
      </c>
      <c r="K14" s="31" t="n"/>
    </row>
    <row r="15" ht="15" customHeight="1" s="23">
      <c r="A15" s="27" t="inlineStr">
        <is>
          <t>NVIDIA</t>
        </is>
      </c>
      <c r="B15" s="27" t="inlineStr">
        <is>
          <t>GeForce GTX 980 Ti (GM200)</t>
        </is>
      </c>
      <c r="C15" s="27" t="inlineStr">
        <is>
          <t>Maxwell</t>
        </is>
      </c>
      <c r="D15" s="28" t="inlineStr">
        <is>
          <t>2015</t>
        </is>
      </c>
      <c r="E15" s="28" t="inlineStr">
        <is>
          <t>28</t>
        </is>
      </c>
      <c r="F15" s="29" t="n">
        <v>8000</v>
      </c>
      <c r="G15" s="28" t="inlineStr">
        <is>
          <t>Official</t>
        </is>
      </c>
      <c r="H15" s="30" t="n">
        <v>601</v>
      </c>
      <c r="I15" s="30">
        <f>IF(AND(ISNUMBER(F15),ISNUMBER(H15),H15&gt;0),F15/H15,"")</f>
        <v/>
      </c>
      <c r="J15" s="29" t="n">
        <v>3072</v>
      </c>
      <c r="K15" s="31" t="n"/>
    </row>
    <row r="16" ht="15" customHeight="1" s="23">
      <c r="A16" s="27" t="inlineStr">
        <is>
          <t>NVIDIA</t>
        </is>
      </c>
      <c r="B16" s="27" t="inlineStr">
        <is>
          <t>GeForce GTX 1080 Ti (GP102)</t>
        </is>
      </c>
      <c r="C16" s="27" t="inlineStr">
        <is>
          <t>Pascal</t>
        </is>
      </c>
      <c r="D16" s="28" t="inlineStr">
        <is>
          <t>2017</t>
        </is>
      </c>
      <c r="E16" s="28" t="inlineStr">
        <is>
          <t>16</t>
        </is>
      </c>
      <c r="F16" s="29" t="n">
        <v>11800</v>
      </c>
      <c r="G16" s="28" t="inlineStr">
        <is>
          <t>Official</t>
        </is>
      </c>
      <c r="H16" s="30" t="n">
        <v>471</v>
      </c>
      <c r="I16" s="30">
        <f>IF(AND(ISNUMBER(F16),ISNUMBER(H16),H16&gt;0),F16/H16,"")</f>
        <v/>
      </c>
      <c r="J16" s="29" t="n">
        <v>3072</v>
      </c>
      <c r="K16" s="31" t="n"/>
    </row>
    <row r="17" ht="15" customHeight="1" s="23">
      <c r="A17" s="27" t="inlineStr">
        <is>
          <t>NVIDIA</t>
        </is>
      </c>
      <c r="B17" s="27" t="inlineStr">
        <is>
          <t>Tesla V100 (GV100)</t>
        </is>
      </c>
      <c r="C17" s="27" t="inlineStr">
        <is>
          <t>Volta</t>
        </is>
      </c>
      <c r="D17" s="28" t="inlineStr">
        <is>
          <t>2017</t>
        </is>
      </c>
      <c r="E17" s="28" t="inlineStr">
        <is>
          <t>12</t>
        </is>
      </c>
      <c r="F17" s="29" t="n">
        <v>21100</v>
      </c>
      <c r="G17" s="28" t="inlineStr">
        <is>
          <t>Official</t>
        </is>
      </c>
      <c r="H17" s="30" t="n">
        <v>815</v>
      </c>
      <c r="I17" s="30">
        <f>IF(AND(ISNUMBER(F17),ISNUMBER(H17),H17&gt;0),F17/H17,"")</f>
        <v/>
      </c>
      <c r="J17" s="29" t="n">
        <v>6144</v>
      </c>
      <c r="K17" s="31" t="inlineStr">
        <is>
          <t>First Tensor Cores</t>
        </is>
      </c>
    </row>
    <row r="18" ht="15" customHeight="1" s="23">
      <c r="A18" s="27" t="inlineStr">
        <is>
          <t>NVIDIA</t>
        </is>
      </c>
      <c r="B18" s="27" t="inlineStr">
        <is>
          <t>RTX 2080 Ti (TU102)</t>
        </is>
      </c>
      <c r="C18" s="27" t="inlineStr">
        <is>
          <t>Turing</t>
        </is>
      </c>
      <c r="D18" s="28" t="inlineStr">
        <is>
          <t>2018</t>
        </is>
      </c>
      <c r="E18" s="28" t="inlineStr">
        <is>
          <t>12</t>
        </is>
      </c>
      <c r="F18" s="29" t="n">
        <v>18600</v>
      </c>
      <c r="G18" s="28" t="inlineStr">
        <is>
          <t>Official</t>
        </is>
      </c>
      <c r="H18" s="30" t="n">
        <v>754</v>
      </c>
      <c r="I18" s="30">
        <f>IF(AND(ISNUMBER(F18),ISNUMBER(H18),H18&gt;0),F18/H18,"")</f>
        <v/>
      </c>
      <c r="J18" s="29" t="n">
        <v>6144</v>
      </c>
      <c r="K18" s="31" t="inlineStr">
        <is>
          <t>First RT cores</t>
        </is>
      </c>
    </row>
    <row r="19" ht="15" customHeight="1" s="23">
      <c r="A19" s="27" t="inlineStr">
        <is>
          <t>NVIDIA</t>
        </is>
      </c>
      <c r="B19" s="27" t="inlineStr">
        <is>
          <t>RTX 3090 (GA102)</t>
        </is>
      </c>
      <c r="C19" s="27" t="inlineStr">
        <is>
          <t>Ampere</t>
        </is>
      </c>
      <c r="D19" s="28" t="inlineStr">
        <is>
          <t>2020</t>
        </is>
      </c>
      <c r="E19" s="28" t="inlineStr">
        <is>
          <t>8</t>
        </is>
      </c>
      <c r="F19" s="29" t="n">
        <v>28300</v>
      </c>
      <c r="G19" s="28" t="inlineStr">
        <is>
          <t>Official</t>
        </is>
      </c>
      <c r="H19" s="30" t="n">
        <v>628</v>
      </c>
      <c r="I19" s="30">
        <f>IF(AND(ISNUMBER(F19),ISNUMBER(H19),H19&gt;0),F19/H19,"")</f>
        <v/>
      </c>
      <c r="J19" s="29" t="n">
        <v>6144</v>
      </c>
      <c r="K19" s="31" t="inlineStr">
        <is>
          <t>Samsung 8N</t>
        </is>
      </c>
    </row>
    <row r="20" ht="15" customHeight="1" s="23">
      <c r="A20" s="27" t="inlineStr">
        <is>
          <t>NVIDIA</t>
        </is>
      </c>
      <c r="B20" s="27" t="inlineStr">
        <is>
          <t>A100 (GA100)</t>
        </is>
      </c>
      <c r="C20" s="27" t="inlineStr">
        <is>
          <t>Ampere</t>
        </is>
      </c>
      <c r="D20" s="28" t="inlineStr">
        <is>
          <t>2020</t>
        </is>
      </c>
      <c r="E20" s="28" t="inlineStr">
        <is>
          <t>7</t>
        </is>
      </c>
      <c r="F20" s="29" t="n">
        <v>54200</v>
      </c>
      <c r="G20" s="28" t="inlineStr">
        <is>
          <t>Official</t>
        </is>
      </c>
      <c r="H20" s="30" t="n">
        <v>826</v>
      </c>
      <c r="I20" s="30">
        <f>IF(AND(ISNUMBER(F20),ISNUMBER(H20),H20&gt;0),F20/H20,"")</f>
        <v/>
      </c>
      <c r="J20" s="29" t="n">
        <v>40960</v>
      </c>
      <c r="K20" s="31" t="inlineStr">
        <is>
          <t>Datacenter; 40 MB L2</t>
        </is>
      </c>
    </row>
    <row r="21" ht="15" customHeight="1" s="23">
      <c r="A21" s="27" t="inlineStr">
        <is>
          <t>NVIDIA</t>
        </is>
      </c>
      <c r="B21" s="27" t="inlineStr">
        <is>
          <t>RTX 4090 (AD102)</t>
        </is>
      </c>
      <c r="C21" s="27" t="inlineStr">
        <is>
          <t>Ada</t>
        </is>
      </c>
      <c r="D21" s="28" t="inlineStr">
        <is>
          <t>2022</t>
        </is>
      </c>
      <c r="E21" s="28" t="inlineStr">
        <is>
          <t>4N</t>
        </is>
      </c>
      <c r="F21" s="29" t="n">
        <v>76300</v>
      </c>
      <c r="G21" s="28" t="inlineStr">
        <is>
          <t>Official</t>
        </is>
      </c>
      <c r="H21" s="30" t="n">
        <v>608</v>
      </c>
      <c r="I21" s="30">
        <f>IF(AND(ISNUMBER(F21),ISNUMBER(H21),H21&gt;0),F21/H21,"")</f>
        <v/>
      </c>
      <c r="J21" s="29" t="n">
        <v>73728</v>
      </c>
      <c r="K21" s="31" t="inlineStr">
        <is>
          <t>72 MB L2 enabled (96 MB full die)</t>
        </is>
      </c>
    </row>
    <row r="22" ht="15" customHeight="1" s="23">
      <c r="A22" s="27" t="inlineStr">
        <is>
          <t>NVIDIA</t>
        </is>
      </c>
      <c r="B22" s="27" t="inlineStr">
        <is>
          <t>H100 (GH100)</t>
        </is>
      </c>
      <c r="C22" s="27" t="inlineStr">
        <is>
          <t>Hopper</t>
        </is>
      </c>
      <c r="D22" s="28" t="inlineStr">
        <is>
          <t>2022</t>
        </is>
      </c>
      <c r="E22" s="28" t="inlineStr">
        <is>
          <t>4N</t>
        </is>
      </c>
      <c r="F22" s="29" t="n">
        <v>80000</v>
      </c>
      <c r="G22" s="28" t="inlineStr">
        <is>
          <t>Official</t>
        </is>
      </c>
      <c r="H22" s="30" t="n">
        <v>814</v>
      </c>
      <c r="I22" s="30">
        <f>IF(AND(ISNUMBER(F22),ISNUMBER(H22),H22&gt;0),F22/H22,"")</f>
        <v/>
      </c>
      <c r="J22" s="29" t="n">
        <v>51200</v>
      </c>
      <c r="K22" s="31" t="inlineStr">
        <is>
          <t>50 MB L2; near reticle limit</t>
        </is>
      </c>
    </row>
    <row r="23" ht="15" customHeight="1" s="23">
      <c r="A23" s="27" t="inlineStr">
        <is>
          <t>NVIDIA</t>
        </is>
      </c>
      <c r="B23" s="27" t="inlineStr">
        <is>
          <t>RTX 5090 (GB202)</t>
        </is>
      </c>
      <c r="C23" s="27" t="inlineStr">
        <is>
          <t>Blackwell</t>
        </is>
      </c>
      <c r="D23" s="28" t="inlineStr">
        <is>
          <t>2025</t>
        </is>
      </c>
      <c r="E23" s="28" t="inlineStr">
        <is>
          <t>4N</t>
        </is>
      </c>
      <c r="F23" s="29" t="n">
        <v>92200</v>
      </c>
      <c r="G23" s="28" t="inlineStr">
        <is>
          <t>Official</t>
        </is>
      </c>
      <c r="H23" s="30" t="n">
        <v>750</v>
      </c>
      <c r="I23" s="30">
        <f>IF(AND(ISNUMBER(F23),ISNUMBER(H23),H23&gt;0),F23/H23,"")</f>
        <v/>
      </c>
      <c r="J23" s="29" t="n">
        <v>98304</v>
      </c>
      <c r="K23" s="31" t="inlineStr">
        <is>
          <t>96 MB L2</t>
        </is>
      </c>
    </row>
    <row r="24" ht="15" customHeight="1" s="23">
      <c r="A24" s="27" t="inlineStr">
        <is>
          <t>NVIDIA</t>
        </is>
      </c>
      <c r="B24" s="27" t="inlineStr">
        <is>
          <t>B200 (2x GB100)</t>
        </is>
      </c>
      <c r="C24" s="27" t="inlineStr">
        <is>
          <t>Blackwell</t>
        </is>
      </c>
      <c r="D24" s="28" t="inlineStr">
        <is>
          <t>2024</t>
        </is>
      </c>
      <c r="E24" s="28" t="inlineStr">
        <is>
          <t>4NP</t>
        </is>
      </c>
      <c r="F24" s="29" t="n">
        <v>208000</v>
      </c>
      <c r="G24" s="28" t="inlineStr">
        <is>
          <t>Official</t>
        </is>
      </c>
      <c r="H24" s="30" t="n">
        <v>1600</v>
      </c>
      <c r="I24" s="30">
        <f>IF(AND(ISNUMBER(F24),ISNUMBER(H24),H24&gt;0),F24/H24,"")</f>
        <v/>
      </c>
      <c r="J24" s="29" t="n">
        <v>196608</v>
      </c>
      <c r="K24" s="31" t="inlineStr">
        <is>
          <t>Dual-die MCM (2x104 B); 192 MB L2; ~800 mm2/die</t>
        </is>
      </c>
    </row>
    <row r="25" ht="15" customHeight="1" s="23">
      <c r="A25" s="27" t="inlineStr">
        <is>
          <t>AMD</t>
        </is>
      </c>
      <c r="B25" s="27" t="inlineStr">
        <is>
          <t>Radeon DDR (R100)</t>
        </is>
      </c>
      <c r="C25" s="27" t="inlineStr">
        <is>
          <t>R100</t>
        </is>
      </c>
      <c r="D25" s="28" t="inlineStr">
        <is>
          <t>2000</t>
        </is>
      </c>
      <c r="E25" s="28" t="inlineStr">
        <is>
          <t>180</t>
        </is>
      </c>
      <c r="F25" s="29" t="n">
        <v>30</v>
      </c>
      <c r="G25" s="28" t="inlineStr">
        <is>
          <t>Official</t>
        </is>
      </c>
      <c r="H25" s="27" t="n"/>
      <c r="I25" s="30">
        <f>IF(AND(ISNUMBER(F25),ISNUMBER(H25),H25&gt;0),F25/H25,"")</f>
        <v/>
      </c>
      <c r="J25" s="27" t="n"/>
      <c r="K25" s="31" t="inlineStr">
        <is>
          <t>ATI; fixed-function</t>
        </is>
      </c>
    </row>
    <row r="26" ht="15" customHeight="1" s="23">
      <c r="A26" s="27" t="inlineStr">
        <is>
          <t>AMD</t>
        </is>
      </c>
      <c r="B26" s="27" t="inlineStr">
        <is>
          <t>Radeon 9700 Pro (R300)</t>
        </is>
      </c>
      <c r="C26" s="27" t="inlineStr">
        <is>
          <t>R300</t>
        </is>
      </c>
      <c r="D26" s="28" t="inlineStr">
        <is>
          <t>2002</t>
        </is>
      </c>
      <c r="E26" s="28" t="inlineStr">
        <is>
          <t>150</t>
        </is>
      </c>
      <c r="F26" s="29" t="n">
        <v>107</v>
      </c>
      <c r="G26" s="28" t="inlineStr">
        <is>
          <t>Official</t>
        </is>
      </c>
      <c r="H26" s="30" t="n">
        <v>218</v>
      </c>
      <c r="I26" s="30">
        <f>IF(AND(ISNUMBER(F26),ISNUMBER(H26),H26&gt;0),F26/H26,"")</f>
        <v/>
      </c>
      <c r="J26" s="27" t="n"/>
      <c r="K26" s="31" t="n"/>
    </row>
    <row r="27" ht="15" customHeight="1" s="23">
      <c r="A27" s="27" t="inlineStr">
        <is>
          <t>AMD</t>
        </is>
      </c>
      <c r="B27" s="27" t="inlineStr">
        <is>
          <t>Radeon X1900 XTX (R580)</t>
        </is>
      </c>
      <c r="C27" s="27" t="inlineStr">
        <is>
          <t>R500</t>
        </is>
      </c>
      <c r="D27" s="28" t="inlineStr">
        <is>
          <t>2006</t>
        </is>
      </c>
      <c r="E27" s="28" t="inlineStr">
        <is>
          <t>90</t>
        </is>
      </c>
      <c r="F27" s="29" t="n">
        <v>384</v>
      </c>
      <c r="G27" s="28" t="inlineStr">
        <is>
          <t>Official</t>
        </is>
      </c>
      <c r="H27" s="30" t="n">
        <v>352</v>
      </c>
      <c r="I27" s="30">
        <f>IF(AND(ISNUMBER(F27),ISNUMBER(H27),H27&gt;0),F27/H27,"")</f>
        <v/>
      </c>
      <c r="J27" s="27" t="n"/>
      <c r="K27" s="31" t="n"/>
    </row>
    <row r="28" ht="15" customHeight="1" s="23">
      <c r="A28" s="27" t="inlineStr">
        <is>
          <t>AMD</t>
        </is>
      </c>
      <c r="B28" s="27" t="inlineStr">
        <is>
          <t>Radeon HD 2900 XT (R600)</t>
        </is>
      </c>
      <c r="C28" s="27" t="inlineStr">
        <is>
          <t>TeraScale</t>
        </is>
      </c>
      <c r="D28" s="28" t="inlineStr">
        <is>
          <t>2007</t>
        </is>
      </c>
      <c r="E28" s="28" t="inlineStr">
        <is>
          <t>80</t>
        </is>
      </c>
      <c r="F28" s="29" t="n">
        <v>700</v>
      </c>
      <c r="G28" s="28" t="inlineStr">
        <is>
          <t>Official</t>
        </is>
      </c>
      <c r="H28" s="30" t="n">
        <v>420</v>
      </c>
      <c r="I28" s="30">
        <f>IF(AND(ISNUMBER(F28),ISNUMBER(H28),H28&gt;0),F28/H28,"")</f>
        <v/>
      </c>
      <c r="J28" s="27" t="n"/>
      <c r="K28" s="31" t="n"/>
    </row>
    <row r="29" ht="15" customHeight="1" s="23">
      <c r="A29" s="27" t="inlineStr">
        <is>
          <t>AMD</t>
        </is>
      </c>
      <c r="B29" s="27" t="inlineStr">
        <is>
          <t>Radeon HD 4870 (RV770)</t>
        </is>
      </c>
      <c r="C29" s="27" t="inlineStr">
        <is>
          <t>TeraScale 2</t>
        </is>
      </c>
      <c r="D29" s="28" t="inlineStr">
        <is>
          <t>2008</t>
        </is>
      </c>
      <c r="E29" s="28" t="inlineStr">
        <is>
          <t>55</t>
        </is>
      </c>
      <c r="F29" s="29" t="n">
        <v>956</v>
      </c>
      <c r="G29" s="28" t="inlineStr">
        <is>
          <t>Official</t>
        </is>
      </c>
      <c r="H29" s="30" t="n">
        <v>256</v>
      </c>
      <c r="I29" s="30">
        <f>IF(AND(ISNUMBER(F29),ISNUMBER(H29),H29&gt;0),F29/H29,"")</f>
        <v/>
      </c>
      <c r="J29" s="27" t="n"/>
      <c r="K29" s="31" t="n"/>
    </row>
    <row r="30" ht="15" customHeight="1" s="23">
      <c r="A30" s="27" t="inlineStr">
        <is>
          <t>AMD</t>
        </is>
      </c>
      <c r="B30" s="27" t="inlineStr">
        <is>
          <t>Radeon HD 5870 (Cypress)</t>
        </is>
      </c>
      <c r="C30" s="27" t="inlineStr">
        <is>
          <t>TeraScale 2</t>
        </is>
      </c>
      <c r="D30" s="28" t="inlineStr">
        <is>
          <t>2009</t>
        </is>
      </c>
      <c r="E30" s="28" t="inlineStr">
        <is>
          <t>40</t>
        </is>
      </c>
      <c r="F30" s="29" t="n">
        <v>2154</v>
      </c>
      <c r="G30" s="28" t="inlineStr">
        <is>
          <t>Official</t>
        </is>
      </c>
      <c r="H30" s="30" t="n">
        <v>334</v>
      </c>
      <c r="I30" s="30">
        <f>IF(AND(ISNUMBER(F30),ISNUMBER(H30),H30&gt;0),F30/H30,"")</f>
        <v/>
      </c>
      <c r="J30" s="29" t="n">
        <v>512</v>
      </c>
      <c r="K30" s="31" t="n"/>
    </row>
    <row r="31" ht="15" customHeight="1" s="23">
      <c r="A31" s="27" t="inlineStr">
        <is>
          <t>AMD</t>
        </is>
      </c>
      <c r="B31" s="27" t="inlineStr">
        <is>
          <t>Radeon HD 7970 (Tahiti)</t>
        </is>
      </c>
      <c r="C31" s="27" t="inlineStr">
        <is>
          <t>GCN 1</t>
        </is>
      </c>
      <c r="D31" s="28" t="inlineStr">
        <is>
          <t>2011</t>
        </is>
      </c>
      <c r="E31" s="28" t="inlineStr">
        <is>
          <t>28</t>
        </is>
      </c>
      <c r="F31" s="29" t="n">
        <v>4313</v>
      </c>
      <c r="G31" s="28" t="inlineStr">
        <is>
          <t>Official</t>
        </is>
      </c>
      <c r="H31" s="30" t="n">
        <v>352</v>
      </c>
      <c r="I31" s="30">
        <f>IF(AND(ISNUMBER(F31),ISNUMBER(H31),H31&gt;0),F31/H31,"")</f>
        <v/>
      </c>
      <c r="J31" s="29" t="n">
        <v>768</v>
      </c>
      <c r="K31" s="31" t="inlineStr">
        <is>
          <t>First GCN</t>
        </is>
      </c>
    </row>
    <row r="32" ht="15" customHeight="1" s="23">
      <c r="A32" s="27" t="inlineStr">
        <is>
          <t>AMD</t>
        </is>
      </c>
      <c r="B32" s="27" t="inlineStr">
        <is>
          <t>Radeon R9 290X (Hawaii)</t>
        </is>
      </c>
      <c r="C32" s="27" t="inlineStr">
        <is>
          <t>GCN 2</t>
        </is>
      </c>
      <c r="D32" s="28" t="inlineStr">
        <is>
          <t>2013</t>
        </is>
      </c>
      <c r="E32" s="28" t="inlineStr">
        <is>
          <t>28</t>
        </is>
      </c>
      <c r="F32" s="29" t="n">
        <v>6200</v>
      </c>
      <c r="G32" s="28" t="inlineStr">
        <is>
          <t>Official</t>
        </is>
      </c>
      <c r="H32" s="30" t="n">
        <v>438</v>
      </c>
      <c r="I32" s="30">
        <f>IF(AND(ISNUMBER(F32),ISNUMBER(H32),H32&gt;0),F32/H32,"")</f>
        <v/>
      </c>
      <c r="J32" s="29" t="n">
        <v>1024</v>
      </c>
      <c r="K32" s="31" t="n"/>
    </row>
    <row r="33" ht="15" customHeight="1" s="23">
      <c r="A33" s="27" t="inlineStr">
        <is>
          <t>AMD</t>
        </is>
      </c>
      <c r="B33" s="27" t="inlineStr">
        <is>
          <t>Radeon R9 Fury X (Fiji)</t>
        </is>
      </c>
      <c r="C33" s="27" t="inlineStr">
        <is>
          <t>GCN 3</t>
        </is>
      </c>
      <c r="D33" s="28" t="inlineStr">
        <is>
          <t>2015</t>
        </is>
      </c>
      <c r="E33" s="28" t="inlineStr">
        <is>
          <t>28</t>
        </is>
      </c>
      <c r="F33" s="29" t="n">
        <v>8900</v>
      </c>
      <c r="G33" s="28" t="inlineStr">
        <is>
          <t>Official</t>
        </is>
      </c>
      <c r="H33" s="30" t="n">
        <v>596</v>
      </c>
      <c r="I33" s="30">
        <f>IF(AND(ISNUMBER(F33),ISNUMBER(H33),H33&gt;0),F33/H33,"")</f>
        <v/>
      </c>
      <c r="J33" s="29" t="n">
        <v>2048</v>
      </c>
      <c r="K33" s="31" t="inlineStr">
        <is>
          <t>First HBM</t>
        </is>
      </c>
    </row>
    <row r="34" ht="15" customHeight="1" s="23">
      <c r="A34" s="27" t="inlineStr">
        <is>
          <t>AMD</t>
        </is>
      </c>
      <c r="B34" s="27" t="inlineStr">
        <is>
          <t>Radeon RX 480 (Polaris 10)</t>
        </is>
      </c>
      <c r="C34" s="27" t="inlineStr">
        <is>
          <t>GCN 4</t>
        </is>
      </c>
      <c r="D34" s="28" t="inlineStr">
        <is>
          <t>2016</t>
        </is>
      </c>
      <c r="E34" s="28" t="inlineStr">
        <is>
          <t>14</t>
        </is>
      </c>
      <c r="F34" s="29" t="n">
        <v>5700</v>
      </c>
      <c r="G34" s="28" t="inlineStr">
        <is>
          <t>Official</t>
        </is>
      </c>
      <c r="H34" s="30" t="n">
        <v>232</v>
      </c>
      <c r="I34" s="30">
        <f>IF(AND(ISNUMBER(F34),ISNUMBER(H34),H34&gt;0),F34/H34,"")</f>
        <v/>
      </c>
      <c r="J34" s="29" t="n">
        <v>2048</v>
      </c>
      <c r="K34" s="31" t="n"/>
    </row>
    <row r="35" ht="15" customHeight="1" s="23">
      <c r="A35" s="27" t="inlineStr">
        <is>
          <t>AMD</t>
        </is>
      </c>
      <c r="B35" s="27" t="inlineStr">
        <is>
          <t>Radeon RX Vega 64 (Vega 10)</t>
        </is>
      </c>
      <c r="C35" s="27" t="inlineStr">
        <is>
          <t>GCN 5</t>
        </is>
      </c>
      <c r="D35" s="28" t="inlineStr">
        <is>
          <t>2017</t>
        </is>
      </c>
      <c r="E35" s="28" t="inlineStr">
        <is>
          <t>14</t>
        </is>
      </c>
      <c r="F35" s="29" t="n">
        <v>12500</v>
      </c>
      <c r="G35" s="28" t="inlineStr">
        <is>
          <t>Official</t>
        </is>
      </c>
      <c r="H35" s="30" t="n">
        <v>495</v>
      </c>
      <c r="I35" s="30">
        <f>IF(AND(ISNUMBER(F35),ISNUMBER(H35),H35&gt;0),F35/H35,"")</f>
        <v/>
      </c>
      <c r="J35" s="29" t="n">
        <v>4096</v>
      </c>
      <c r="K35" s="31" t="n"/>
    </row>
    <row r="36" ht="15" customHeight="1" s="23">
      <c r="A36" s="27" t="inlineStr">
        <is>
          <t>AMD</t>
        </is>
      </c>
      <c r="B36" s="27" t="inlineStr">
        <is>
          <t>Radeon RX 5700 XT (Navi 10)</t>
        </is>
      </c>
      <c r="C36" s="27" t="inlineStr">
        <is>
          <t>RDNA</t>
        </is>
      </c>
      <c r="D36" s="28" t="inlineStr">
        <is>
          <t>2019</t>
        </is>
      </c>
      <c r="E36" s="28" t="inlineStr">
        <is>
          <t>7</t>
        </is>
      </c>
      <c r="F36" s="29" t="n">
        <v>10300</v>
      </c>
      <c r="G36" s="28" t="inlineStr">
        <is>
          <t>Official</t>
        </is>
      </c>
      <c r="H36" s="30" t="n">
        <v>251</v>
      </c>
      <c r="I36" s="30">
        <f>IF(AND(ISNUMBER(F36),ISNUMBER(H36),H36&gt;0),F36/H36,"")</f>
        <v/>
      </c>
      <c r="J36" s="29" t="n">
        <v>4096</v>
      </c>
      <c r="K36" s="31" t="n"/>
    </row>
    <row r="37" ht="15" customHeight="1" s="23">
      <c r="A37" s="27" t="inlineStr">
        <is>
          <t>AMD</t>
        </is>
      </c>
      <c r="B37" s="27" t="inlineStr">
        <is>
          <t>Radeon RX 6900 XT (Navi 21)</t>
        </is>
      </c>
      <c r="C37" s="27" t="inlineStr">
        <is>
          <t>RDNA 2</t>
        </is>
      </c>
      <c r="D37" s="28" t="inlineStr">
        <is>
          <t>2020</t>
        </is>
      </c>
      <c r="E37" s="28" t="inlineStr">
        <is>
          <t>7</t>
        </is>
      </c>
      <c r="F37" s="29" t="n">
        <v>26800</v>
      </c>
      <c r="G37" s="28" t="inlineStr">
        <is>
          <t>Official</t>
        </is>
      </c>
      <c r="H37" s="30" t="n">
        <v>520</v>
      </c>
      <c r="I37" s="30">
        <f>IF(AND(ISNUMBER(F37),ISNUMBER(H37),H37&gt;0),F37/H37,"")</f>
        <v/>
      </c>
      <c r="J37" s="29" t="n">
        <v>131072</v>
      </c>
      <c r="K37" s="31" t="inlineStr">
        <is>
          <t>LLC = 128 MB Infinity Cache (L3) + 4 MB L2</t>
        </is>
      </c>
    </row>
    <row r="38" ht="15" customHeight="1" s="23">
      <c r="A38" s="27" t="inlineStr">
        <is>
          <t>AMD</t>
        </is>
      </c>
      <c r="B38" s="27" t="inlineStr">
        <is>
          <t>Radeon RX 7900 XTX (Navi 31)</t>
        </is>
      </c>
      <c r="C38" s="27" t="inlineStr">
        <is>
          <t>RDNA 3</t>
        </is>
      </c>
      <c r="D38" s="28" t="inlineStr">
        <is>
          <t>2022</t>
        </is>
      </c>
      <c r="E38" s="28" t="inlineStr">
        <is>
          <t>5 / 6</t>
        </is>
      </c>
      <c r="F38" s="29" t="n">
        <v>57700</v>
      </c>
      <c r="G38" s="28" t="inlineStr">
        <is>
          <t>Official</t>
        </is>
      </c>
      <c r="H38" s="30" t="n">
        <v>529</v>
      </c>
      <c r="I38" s="30">
        <f>IF(AND(ISNUMBER(F38),ISNUMBER(H38),H38&gt;0),F38/H38,"")</f>
        <v/>
      </c>
      <c r="J38" s="29" t="n">
        <v>98304</v>
      </c>
      <c r="K38" s="31" t="inlineStr">
        <is>
          <t>Chiplet (GCD+6 MCD); 96 MB IC + 6 MB L2</t>
        </is>
      </c>
    </row>
    <row r="39" ht="15" customHeight="1" s="23">
      <c r="A39" s="32" t="inlineStr">
        <is>
          <t>AMD</t>
        </is>
      </c>
      <c r="B39" s="32" t="inlineStr">
        <is>
          <t>Radeon RX 9070 XT (Navi 48)</t>
        </is>
      </c>
      <c r="C39" s="32" t="inlineStr">
        <is>
          <t>RDNA 4</t>
        </is>
      </c>
      <c r="D39" s="33" t="inlineStr">
        <is>
          <t>2025</t>
        </is>
      </c>
      <c r="E39" s="33" t="inlineStr">
        <is>
          <t>4</t>
        </is>
      </c>
      <c r="F39" s="34" t="n">
        <v>53900</v>
      </c>
      <c r="G39" s="33" t="inlineStr">
        <is>
          <t>Estimate</t>
        </is>
      </c>
      <c r="H39" s="35" t="n">
        <v>357</v>
      </c>
      <c r="I39" s="35">
        <f>IF(AND(ISNUMBER(F39),ISNUMBER(H39),H39&gt;0),F39/H39,"")</f>
        <v/>
      </c>
      <c r="J39" s="34" t="n">
        <v>65536</v>
      </c>
      <c r="K39" s="36" t="inlineStr">
        <is>
          <t>64 MB Infinity Cache; count approximate</t>
        </is>
      </c>
    </row>
    <row r="40" ht="15" customHeight="1" s="23">
      <c r="A40" s="27" t="inlineStr">
        <is>
          <t>Intel Arc</t>
        </is>
      </c>
      <c r="B40" s="27" t="inlineStr">
        <is>
          <t>Arc A770 (ACM-G10)</t>
        </is>
      </c>
      <c r="C40" s="27" t="inlineStr">
        <is>
          <t>Xe-HPG (Alchemist)</t>
        </is>
      </c>
      <c r="D40" s="28" t="inlineStr">
        <is>
          <t>2022</t>
        </is>
      </c>
      <c r="E40" s="28" t="inlineStr">
        <is>
          <t>6</t>
        </is>
      </c>
      <c r="F40" s="29" t="n">
        <v>21700</v>
      </c>
      <c r="G40" s="28" t="inlineStr">
        <is>
          <t>Official</t>
        </is>
      </c>
      <c r="H40" s="30" t="n">
        <v>406</v>
      </c>
      <c r="I40" s="30">
        <f>IF(AND(ISNUMBER(F40),ISNUMBER(H40),H40&gt;0),F40/H40,"")</f>
        <v/>
      </c>
      <c r="J40" s="29" t="n">
        <v>16384</v>
      </c>
      <c r="K40" s="31" t="inlineStr">
        <is>
          <t>16 MB L2</t>
        </is>
      </c>
    </row>
    <row r="41" ht="15" customHeight="1" s="23">
      <c r="A41" s="32" t="inlineStr">
        <is>
          <t>Intel Arc</t>
        </is>
      </c>
      <c r="B41" s="32" t="inlineStr">
        <is>
          <t>Arc B580 (BMG-G21)</t>
        </is>
      </c>
      <c r="C41" s="32" t="inlineStr">
        <is>
          <t>Xe2 (Battlemage)</t>
        </is>
      </c>
      <c r="D41" s="33" t="inlineStr">
        <is>
          <t>2024</t>
        </is>
      </c>
      <c r="E41" s="33" t="inlineStr">
        <is>
          <t>5</t>
        </is>
      </c>
      <c r="F41" s="34" t="n">
        <v>19600</v>
      </c>
      <c r="G41" s="33" t="inlineStr">
        <is>
          <t>Estimate</t>
        </is>
      </c>
      <c r="H41" s="35" t="n">
        <v>272</v>
      </c>
      <c r="I41" s="35">
        <f>IF(AND(ISNUMBER(F41),ISNUMBER(H41),H41&gt;0),F41/H41,"")</f>
        <v/>
      </c>
      <c r="J41" s="34" t="n">
        <v>18432</v>
      </c>
      <c r="K41" s="36" t="inlineStr">
        <is>
          <t>18 MB L2; count approximate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30" customWidth="1" style="22" min="2" max="2"/>
    <col width="7" customWidth="1" style="22" min="3" max="3"/>
    <col width="12" customWidth="1" style="22" min="4" max="4"/>
    <col width="18" customWidth="1" style="22" min="5" max="5"/>
    <col width="20" customWidth="1" style="22" min="6" max="6"/>
    <col width="18" customWidth="1" style="22" min="7" max="7"/>
  </cols>
  <sheetData>
    <row r="1" ht="17.35" customHeight="1" s="23">
      <c r="A1" s="24" t="inlineStr">
        <is>
          <t>Estimated last-level-cache share of transistor budget (6T-SRAM model)</t>
        </is>
      </c>
    </row>
    <row r="2" ht="60" customHeight="1" s="23">
      <c r="A2" s="37" t="inlineStr">
        <is>
          <t>Model: LLC transistors = cache_KB x 1024 x 8 bits x 6 transistors/bit. IMPORTANT: this counts only the last-level cache (L2, or AMD Infinity Cache L3). GPUs also carry very large register files + L1/shared memory distributed across SMs/CUs that are NOT counted here, so total on-chip SRAM is higher (see Documented Splits). Pre-2010 GPUs had only tiny special-purpose caches and are omitted.</t>
        </is>
      </c>
    </row>
    <row r="4" ht="23.85" customHeight="1" s="23">
      <c r="A4" s="26" t="inlineStr">
        <is>
          <t>Vendor</t>
        </is>
      </c>
      <c r="B4" s="26" t="inlineStr">
        <is>
          <t>GPU</t>
        </is>
      </c>
      <c r="C4" s="26" t="inlineStr">
        <is>
          <t>Year</t>
        </is>
      </c>
      <c r="D4" s="26" t="inlineStr">
        <is>
          <t>LLC (KB)</t>
        </is>
      </c>
      <c r="E4" s="26" t="inlineStr">
        <is>
          <t>Total transistors (millions)</t>
        </is>
      </c>
      <c r="F4" s="26" t="inlineStr">
        <is>
          <t>Est. LLC transistors (millions)</t>
        </is>
      </c>
      <c r="G4" s="26" t="inlineStr">
        <is>
          <t>Est. LLC share of total</t>
        </is>
      </c>
    </row>
    <row r="5" ht="15" customHeight="1" s="23">
      <c r="A5" s="27" t="inlineStr">
        <is>
          <t>NVIDIA</t>
        </is>
      </c>
      <c r="B5" s="27" t="inlineStr">
        <is>
          <t>GeForce GTX 480 (GF100)</t>
        </is>
      </c>
      <c r="C5" s="28" t="inlineStr">
        <is>
          <t>2010</t>
        </is>
      </c>
      <c r="D5" s="29" t="n">
        <v>768</v>
      </c>
      <c r="E5" s="29" t="n">
        <v>3000</v>
      </c>
      <c r="F5" s="29">
        <f>D5*1024*8*6/1000000</f>
        <v/>
      </c>
      <c r="G5" s="38">
        <f>IF(E5&gt;0,F5/E5,"")</f>
        <v/>
      </c>
    </row>
    <row r="6" ht="15" customHeight="1" s="23">
      <c r="A6" s="27" t="inlineStr">
        <is>
          <t>NVIDIA</t>
        </is>
      </c>
      <c r="B6" s="27" t="inlineStr">
        <is>
          <t>GeForce GTX 680 (GK104)</t>
        </is>
      </c>
      <c r="C6" s="28" t="inlineStr">
        <is>
          <t>2012</t>
        </is>
      </c>
      <c r="D6" s="29" t="n">
        <v>512</v>
      </c>
      <c r="E6" s="29" t="n">
        <v>3540</v>
      </c>
      <c r="F6" s="29">
        <f>D6*1024*8*6/1000000</f>
        <v/>
      </c>
      <c r="G6" s="38">
        <f>IF(E6&gt;0,F6/E6,"")</f>
        <v/>
      </c>
    </row>
    <row r="7" ht="15" customHeight="1" s="23">
      <c r="A7" s="27" t="inlineStr">
        <is>
          <t>NVIDIA</t>
        </is>
      </c>
      <c r="B7" s="27" t="inlineStr">
        <is>
          <t>GTX 780 Ti / Titan (GK110)</t>
        </is>
      </c>
      <c r="C7" s="28" t="inlineStr">
        <is>
          <t>2013</t>
        </is>
      </c>
      <c r="D7" s="29" t="n">
        <v>1536</v>
      </c>
      <c r="E7" s="29" t="n">
        <v>7080</v>
      </c>
      <c r="F7" s="29">
        <f>D7*1024*8*6/1000000</f>
        <v/>
      </c>
      <c r="G7" s="38">
        <f>IF(E7&gt;0,F7/E7,"")</f>
        <v/>
      </c>
    </row>
    <row r="8" ht="15" customHeight="1" s="23">
      <c r="A8" s="27" t="inlineStr">
        <is>
          <t>NVIDIA</t>
        </is>
      </c>
      <c r="B8" s="27" t="inlineStr">
        <is>
          <t>GeForce GTX 980 Ti (GM200)</t>
        </is>
      </c>
      <c r="C8" s="28" t="inlineStr">
        <is>
          <t>2015</t>
        </is>
      </c>
      <c r="D8" s="29" t="n">
        <v>3072</v>
      </c>
      <c r="E8" s="29" t="n">
        <v>8000</v>
      </c>
      <c r="F8" s="29">
        <f>D8*1024*8*6/1000000</f>
        <v/>
      </c>
      <c r="G8" s="38">
        <f>IF(E8&gt;0,F8/E8,"")</f>
        <v/>
      </c>
    </row>
    <row r="9" ht="15" customHeight="1" s="23">
      <c r="A9" s="27" t="inlineStr">
        <is>
          <t>NVIDIA</t>
        </is>
      </c>
      <c r="B9" s="27" t="inlineStr">
        <is>
          <t>GeForce GTX 1080 Ti (GP102)</t>
        </is>
      </c>
      <c r="C9" s="28" t="inlineStr">
        <is>
          <t>2017</t>
        </is>
      </c>
      <c r="D9" s="29" t="n">
        <v>3072</v>
      </c>
      <c r="E9" s="29" t="n">
        <v>11800</v>
      </c>
      <c r="F9" s="29">
        <f>D9*1024*8*6/1000000</f>
        <v/>
      </c>
      <c r="G9" s="38">
        <f>IF(E9&gt;0,F9/E9,"")</f>
        <v/>
      </c>
    </row>
    <row r="10" ht="15" customHeight="1" s="23">
      <c r="A10" s="27" t="inlineStr">
        <is>
          <t>NVIDIA</t>
        </is>
      </c>
      <c r="B10" s="27" t="inlineStr">
        <is>
          <t>Tesla V100 (GV100)</t>
        </is>
      </c>
      <c r="C10" s="28" t="inlineStr">
        <is>
          <t>2017</t>
        </is>
      </c>
      <c r="D10" s="29" t="n">
        <v>6144</v>
      </c>
      <c r="E10" s="29" t="n">
        <v>21100</v>
      </c>
      <c r="F10" s="29">
        <f>D10*1024*8*6/1000000</f>
        <v/>
      </c>
      <c r="G10" s="38">
        <f>IF(E10&gt;0,F10/E10,"")</f>
        <v/>
      </c>
    </row>
    <row r="11" ht="15" customHeight="1" s="23">
      <c r="A11" s="27" t="inlineStr">
        <is>
          <t>NVIDIA</t>
        </is>
      </c>
      <c r="B11" s="27" t="inlineStr">
        <is>
          <t>RTX 2080 Ti (TU102)</t>
        </is>
      </c>
      <c r="C11" s="28" t="inlineStr">
        <is>
          <t>2018</t>
        </is>
      </c>
      <c r="D11" s="29" t="n">
        <v>6144</v>
      </c>
      <c r="E11" s="29" t="n">
        <v>18600</v>
      </c>
      <c r="F11" s="29">
        <f>D11*1024*8*6/1000000</f>
        <v/>
      </c>
      <c r="G11" s="38">
        <f>IF(E11&gt;0,F11/E11,"")</f>
        <v/>
      </c>
    </row>
    <row r="12" ht="15" customHeight="1" s="23">
      <c r="A12" s="27" t="inlineStr">
        <is>
          <t>NVIDIA</t>
        </is>
      </c>
      <c r="B12" s="27" t="inlineStr">
        <is>
          <t>RTX 3090 (GA102)</t>
        </is>
      </c>
      <c r="C12" s="28" t="inlineStr">
        <is>
          <t>2020</t>
        </is>
      </c>
      <c r="D12" s="29" t="n">
        <v>6144</v>
      </c>
      <c r="E12" s="29" t="n">
        <v>28300</v>
      </c>
      <c r="F12" s="29">
        <f>D12*1024*8*6/1000000</f>
        <v/>
      </c>
      <c r="G12" s="38">
        <f>IF(E12&gt;0,F12/E12,"")</f>
        <v/>
      </c>
    </row>
    <row r="13" ht="15" customHeight="1" s="23">
      <c r="A13" s="27" t="inlineStr">
        <is>
          <t>NVIDIA</t>
        </is>
      </c>
      <c r="B13" s="27" t="inlineStr">
        <is>
          <t>A100 (GA100)</t>
        </is>
      </c>
      <c r="C13" s="28" t="inlineStr">
        <is>
          <t>2020</t>
        </is>
      </c>
      <c r="D13" s="29" t="n">
        <v>40960</v>
      </c>
      <c r="E13" s="29" t="n">
        <v>54200</v>
      </c>
      <c r="F13" s="29">
        <f>D13*1024*8*6/1000000</f>
        <v/>
      </c>
      <c r="G13" s="38">
        <f>IF(E13&gt;0,F13/E13,"")</f>
        <v/>
      </c>
    </row>
    <row r="14" ht="15" customHeight="1" s="23">
      <c r="A14" s="27" t="inlineStr">
        <is>
          <t>NVIDIA</t>
        </is>
      </c>
      <c r="B14" s="27" t="inlineStr">
        <is>
          <t>RTX 4090 (AD102)</t>
        </is>
      </c>
      <c r="C14" s="28" t="inlineStr">
        <is>
          <t>2022</t>
        </is>
      </c>
      <c r="D14" s="29" t="n">
        <v>73728</v>
      </c>
      <c r="E14" s="29" t="n">
        <v>76300</v>
      </c>
      <c r="F14" s="29">
        <f>D14*1024*8*6/1000000</f>
        <v/>
      </c>
      <c r="G14" s="38">
        <f>IF(E14&gt;0,F14/E14,"")</f>
        <v/>
      </c>
    </row>
    <row r="15" ht="15" customHeight="1" s="23">
      <c r="A15" s="27" t="inlineStr">
        <is>
          <t>NVIDIA</t>
        </is>
      </c>
      <c r="B15" s="27" t="inlineStr">
        <is>
          <t>H100 (GH100)</t>
        </is>
      </c>
      <c r="C15" s="28" t="inlineStr">
        <is>
          <t>2022</t>
        </is>
      </c>
      <c r="D15" s="29" t="n">
        <v>51200</v>
      </c>
      <c r="E15" s="29" t="n">
        <v>80000</v>
      </c>
      <c r="F15" s="29">
        <f>D15*1024*8*6/1000000</f>
        <v/>
      </c>
      <c r="G15" s="38">
        <f>IF(E15&gt;0,F15/E15,"")</f>
        <v/>
      </c>
    </row>
    <row r="16" ht="15" customHeight="1" s="23">
      <c r="A16" s="27" t="inlineStr">
        <is>
          <t>NVIDIA</t>
        </is>
      </c>
      <c r="B16" s="27" t="inlineStr">
        <is>
          <t>RTX 5090 (GB202)</t>
        </is>
      </c>
      <c r="C16" s="28" t="inlineStr">
        <is>
          <t>2025</t>
        </is>
      </c>
      <c r="D16" s="29" t="n">
        <v>98304</v>
      </c>
      <c r="E16" s="29" t="n">
        <v>92200</v>
      </c>
      <c r="F16" s="29">
        <f>D16*1024*8*6/1000000</f>
        <v/>
      </c>
      <c r="G16" s="38">
        <f>IF(E16&gt;0,F16/E16,"")</f>
        <v/>
      </c>
    </row>
    <row r="17" ht="15" customHeight="1" s="23">
      <c r="A17" s="27" t="inlineStr">
        <is>
          <t>NVIDIA</t>
        </is>
      </c>
      <c r="B17" s="27" t="inlineStr">
        <is>
          <t>B200 (2x GB100)</t>
        </is>
      </c>
      <c r="C17" s="28" t="inlineStr">
        <is>
          <t>2024</t>
        </is>
      </c>
      <c r="D17" s="29" t="n">
        <v>196608</v>
      </c>
      <c r="E17" s="29" t="n">
        <v>208000</v>
      </c>
      <c r="F17" s="29">
        <f>D17*1024*8*6/1000000</f>
        <v/>
      </c>
      <c r="G17" s="38">
        <f>IF(E17&gt;0,F17/E17,"")</f>
        <v/>
      </c>
    </row>
    <row r="18" ht="15" customHeight="1" s="23">
      <c r="A18" s="27" t="inlineStr">
        <is>
          <t>AMD</t>
        </is>
      </c>
      <c r="B18" s="27" t="inlineStr">
        <is>
          <t>Radeon HD 5870 (Cypress)</t>
        </is>
      </c>
      <c r="C18" s="28" t="inlineStr">
        <is>
          <t>2009</t>
        </is>
      </c>
      <c r="D18" s="29" t="n">
        <v>512</v>
      </c>
      <c r="E18" s="29" t="n">
        <v>2154</v>
      </c>
      <c r="F18" s="29">
        <f>D18*1024*8*6/1000000</f>
        <v/>
      </c>
      <c r="G18" s="38">
        <f>IF(E18&gt;0,F18/E18,"")</f>
        <v/>
      </c>
    </row>
    <row r="19" ht="15" customHeight="1" s="23">
      <c r="A19" s="27" t="inlineStr">
        <is>
          <t>AMD</t>
        </is>
      </c>
      <c r="B19" s="27" t="inlineStr">
        <is>
          <t>Radeon HD 7970 (Tahiti)</t>
        </is>
      </c>
      <c r="C19" s="28" t="inlineStr">
        <is>
          <t>2011</t>
        </is>
      </c>
      <c r="D19" s="29" t="n">
        <v>768</v>
      </c>
      <c r="E19" s="29" t="n">
        <v>4313</v>
      </c>
      <c r="F19" s="29">
        <f>D19*1024*8*6/1000000</f>
        <v/>
      </c>
      <c r="G19" s="38">
        <f>IF(E19&gt;0,F19/E19,"")</f>
        <v/>
      </c>
    </row>
    <row r="20" ht="15" customHeight="1" s="23">
      <c r="A20" s="27" t="inlineStr">
        <is>
          <t>AMD</t>
        </is>
      </c>
      <c r="B20" s="27" t="inlineStr">
        <is>
          <t>Radeon R9 290X (Hawaii)</t>
        </is>
      </c>
      <c r="C20" s="28" t="inlineStr">
        <is>
          <t>2013</t>
        </is>
      </c>
      <c r="D20" s="29" t="n">
        <v>1024</v>
      </c>
      <c r="E20" s="29" t="n">
        <v>6200</v>
      </c>
      <c r="F20" s="29">
        <f>D20*1024*8*6/1000000</f>
        <v/>
      </c>
      <c r="G20" s="38">
        <f>IF(E20&gt;0,F20/E20,"")</f>
        <v/>
      </c>
    </row>
    <row r="21" ht="15" customHeight="1" s="23">
      <c r="A21" s="27" t="inlineStr">
        <is>
          <t>AMD</t>
        </is>
      </c>
      <c r="B21" s="27" t="inlineStr">
        <is>
          <t>Radeon R9 Fury X (Fiji)</t>
        </is>
      </c>
      <c r="C21" s="28" t="inlineStr">
        <is>
          <t>2015</t>
        </is>
      </c>
      <c r="D21" s="29" t="n">
        <v>2048</v>
      </c>
      <c r="E21" s="29" t="n">
        <v>8900</v>
      </c>
      <c r="F21" s="29">
        <f>D21*1024*8*6/1000000</f>
        <v/>
      </c>
      <c r="G21" s="38">
        <f>IF(E21&gt;0,F21/E21,"")</f>
        <v/>
      </c>
    </row>
    <row r="22" ht="15" customHeight="1" s="23">
      <c r="A22" s="27" t="inlineStr">
        <is>
          <t>AMD</t>
        </is>
      </c>
      <c r="B22" s="27" t="inlineStr">
        <is>
          <t>Radeon RX 480 (Polaris 10)</t>
        </is>
      </c>
      <c r="C22" s="28" t="inlineStr">
        <is>
          <t>2016</t>
        </is>
      </c>
      <c r="D22" s="29" t="n">
        <v>2048</v>
      </c>
      <c r="E22" s="29" t="n">
        <v>5700</v>
      </c>
      <c r="F22" s="29">
        <f>D22*1024*8*6/1000000</f>
        <v/>
      </c>
      <c r="G22" s="38">
        <f>IF(E22&gt;0,F22/E22,"")</f>
        <v/>
      </c>
    </row>
    <row r="23" ht="15" customHeight="1" s="23">
      <c r="A23" s="27" t="inlineStr">
        <is>
          <t>AMD</t>
        </is>
      </c>
      <c r="B23" s="27" t="inlineStr">
        <is>
          <t>Radeon RX Vega 64 (Vega 10)</t>
        </is>
      </c>
      <c r="C23" s="28" t="inlineStr">
        <is>
          <t>2017</t>
        </is>
      </c>
      <c r="D23" s="29" t="n">
        <v>4096</v>
      </c>
      <c r="E23" s="29" t="n">
        <v>12500</v>
      </c>
      <c r="F23" s="29">
        <f>D23*1024*8*6/1000000</f>
        <v/>
      </c>
      <c r="G23" s="38">
        <f>IF(E23&gt;0,F23/E23,"")</f>
        <v/>
      </c>
    </row>
    <row r="24" ht="15" customHeight="1" s="23">
      <c r="A24" s="27" t="inlineStr">
        <is>
          <t>AMD</t>
        </is>
      </c>
      <c r="B24" s="27" t="inlineStr">
        <is>
          <t>Radeon RX 5700 XT (Navi 10)</t>
        </is>
      </c>
      <c r="C24" s="28" t="inlineStr">
        <is>
          <t>2019</t>
        </is>
      </c>
      <c r="D24" s="29" t="n">
        <v>4096</v>
      </c>
      <c r="E24" s="29" t="n">
        <v>10300</v>
      </c>
      <c r="F24" s="29">
        <f>D24*1024*8*6/1000000</f>
        <v/>
      </c>
      <c r="G24" s="38">
        <f>IF(E24&gt;0,F24/E24,"")</f>
        <v/>
      </c>
    </row>
    <row r="25" ht="15" customHeight="1" s="23">
      <c r="A25" s="27" t="inlineStr">
        <is>
          <t>AMD</t>
        </is>
      </c>
      <c r="B25" s="27" t="inlineStr">
        <is>
          <t>Radeon RX 6900 XT (Navi 21)</t>
        </is>
      </c>
      <c r="C25" s="28" t="inlineStr">
        <is>
          <t>2020</t>
        </is>
      </c>
      <c r="D25" s="29" t="n">
        <v>131072</v>
      </c>
      <c r="E25" s="29" t="n">
        <v>26800</v>
      </c>
      <c r="F25" s="29">
        <f>D25*1024*8*6/1000000</f>
        <v/>
      </c>
      <c r="G25" s="38">
        <f>IF(E25&gt;0,F25/E25,"")</f>
        <v/>
      </c>
    </row>
    <row r="26" ht="15" customHeight="1" s="23">
      <c r="A26" s="27" t="inlineStr">
        <is>
          <t>AMD</t>
        </is>
      </c>
      <c r="B26" s="27" t="inlineStr">
        <is>
          <t>Radeon RX 7900 XTX (Navi 31)</t>
        </is>
      </c>
      <c r="C26" s="28" t="inlineStr">
        <is>
          <t>2022</t>
        </is>
      </c>
      <c r="D26" s="29" t="n">
        <v>98304</v>
      </c>
      <c r="E26" s="29" t="n">
        <v>57700</v>
      </c>
      <c r="F26" s="29">
        <f>D26*1024*8*6/1000000</f>
        <v/>
      </c>
      <c r="G26" s="38">
        <f>IF(E26&gt;0,F26/E26,"")</f>
        <v/>
      </c>
    </row>
    <row r="27" ht="15" customHeight="1" s="23">
      <c r="A27" s="32" t="inlineStr">
        <is>
          <t>AMD</t>
        </is>
      </c>
      <c r="B27" s="32" t="inlineStr">
        <is>
          <t>Radeon RX 9070 XT (Navi 48)</t>
        </is>
      </c>
      <c r="C27" s="33" t="inlineStr">
        <is>
          <t>2025</t>
        </is>
      </c>
      <c r="D27" s="34" t="n">
        <v>65536</v>
      </c>
      <c r="E27" s="34" t="n">
        <v>53900</v>
      </c>
      <c r="F27" s="34">
        <f>D27*1024*8*6/1000000</f>
        <v/>
      </c>
      <c r="G27" s="39">
        <f>IF(E27&gt;0,F27/E27,"")</f>
        <v/>
      </c>
    </row>
    <row r="28" ht="15" customHeight="1" s="23">
      <c r="A28" s="27" t="inlineStr">
        <is>
          <t>Intel Arc</t>
        </is>
      </c>
      <c r="B28" s="27" t="inlineStr">
        <is>
          <t>Arc A770 (ACM-G10)</t>
        </is>
      </c>
      <c r="C28" s="28" t="inlineStr">
        <is>
          <t>2022</t>
        </is>
      </c>
      <c r="D28" s="29" t="n">
        <v>16384</v>
      </c>
      <c r="E28" s="29" t="n">
        <v>21700</v>
      </c>
      <c r="F28" s="29">
        <f>D28*1024*8*6/1000000</f>
        <v/>
      </c>
      <c r="G28" s="38">
        <f>IF(E28&gt;0,F28/E28,"")</f>
        <v/>
      </c>
    </row>
    <row r="29" ht="15" customHeight="1" s="23">
      <c r="A29" s="32" t="inlineStr">
        <is>
          <t>Intel Arc</t>
        </is>
      </c>
      <c r="B29" s="32" t="inlineStr">
        <is>
          <t>Arc B580 (BMG-G21)</t>
        </is>
      </c>
      <c r="C29" s="33" t="inlineStr">
        <is>
          <t>2024</t>
        </is>
      </c>
      <c r="D29" s="34" t="n">
        <v>18432</v>
      </c>
      <c r="E29" s="34" t="n">
        <v>19600</v>
      </c>
      <c r="F29" s="34">
        <f>D29*1024*8*6/1000000</f>
        <v/>
      </c>
      <c r="G29" s="39">
        <f>IF(E29&gt;0,F29/E29,"")</f>
        <v/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2" min="1" max="2"/>
    <col width="16" customWidth="1" style="22" min="3" max="4"/>
    <col width="24" customWidth="1" style="22" min="5" max="5"/>
    <col width="46" customWidth="1" style="22" min="6" max="6"/>
  </cols>
  <sheetData>
    <row r="1" ht="17.35" customHeight="1" s="23">
      <c r="A1" s="24" t="inlineStr">
        <is>
          <t>Genuinely published / derivable functional breakdowns</t>
        </is>
      </c>
    </row>
    <row r="2" ht="30" customHeight="1" s="23">
      <c r="A2" s="37" t="inlineStr">
        <is>
          <t>Watch the Metric column: AREA % != transistor % (SRAM denser than logic). GPU transistor budgets are logic/compute-dominated - the opposite of CPUs.</t>
        </is>
      </c>
    </row>
    <row r="4" ht="15" customHeight="1" s="23">
      <c r="A4" s="26" t="inlineStr">
        <is>
          <t>GPU (year, node)</t>
        </is>
      </c>
      <c r="B4" s="26" t="inlineStr">
        <is>
          <t>Region / function</t>
        </is>
      </c>
      <c r="C4" s="26" t="inlineStr">
        <is>
          <t>Metric</t>
        </is>
      </c>
      <c r="D4" s="26" t="inlineStr">
        <is>
          <t>Value</t>
        </is>
      </c>
      <c r="E4" s="26" t="inlineStr">
        <is>
          <t>Source</t>
        </is>
      </c>
      <c r="F4" s="26" t="inlineStr">
        <is>
          <t>Notes</t>
        </is>
      </c>
    </row>
    <row r="5" ht="22.35" customHeight="1" s="23">
      <c r="A5" s="40" t="inlineStr">
        <is>
          <t>Navi 21 / RX 6900 XT (2020, 7nm)</t>
        </is>
      </c>
      <c r="B5" s="40" t="inlineStr">
        <is>
          <t>128 MB Infinity Cache (L3)</t>
        </is>
      </c>
      <c r="C5" s="40" t="inlineStr">
        <is>
          <t>share of DIE AREA</t>
        </is>
      </c>
      <c r="D5" s="40" t="inlineStr">
        <is>
          <t>~17%</t>
        </is>
      </c>
      <c r="E5" s="40" t="inlineStr">
        <is>
          <t>Tom's Hardware</t>
        </is>
      </c>
      <c r="F5" s="40" t="inlineStr">
        <is>
          <t>Area, not transistor, share</t>
        </is>
      </c>
    </row>
    <row r="6" ht="15" customHeight="1" s="23">
      <c r="A6" s="40" t="inlineStr">
        <is>
          <t>Navi 21 / RX 6900 XT (2020)</t>
        </is>
      </c>
      <c r="B6" s="40" t="inlineStr">
        <is>
          <t>Compute Units (CUs)</t>
        </is>
      </c>
      <c r="C6" s="40" t="inlineStr">
        <is>
          <t>share of DIE AREA</t>
        </is>
      </c>
      <c r="D6" s="40" t="inlineStr">
        <is>
          <t>~31%</t>
        </is>
      </c>
      <c r="E6" s="40" t="inlineStr">
        <is>
          <t>Tom's Hardware</t>
        </is>
      </c>
      <c r="F6" s="40" t="inlineStr">
        <is>
          <t>Rest = mem controllers, TMUs, video, I/O</t>
        </is>
      </c>
    </row>
    <row r="7" ht="15" customHeight="1" s="23">
      <c r="A7" s="40" t="inlineStr">
        <is>
          <t>Navi 21 / RX 6900 XT (2020)</t>
        </is>
      </c>
      <c r="B7" s="40" t="inlineStr">
        <is>
          <t>128 MB Infinity Cache (L3)</t>
        </is>
      </c>
      <c r="C7" s="40" t="inlineStr">
        <is>
          <t>share of transistors</t>
        </is>
      </c>
      <c r="D7" s="40" t="inlineStr">
        <is>
          <t>~24% (6T est.)</t>
        </is>
      </c>
      <c r="E7" s="40" t="inlineStr">
        <is>
          <t>6T model</t>
        </is>
      </c>
      <c r="F7" s="40" t="inlineStr">
        <is>
          <t>AMD's cache-heavy RDNA2 bet</t>
        </is>
      </c>
    </row>
    <row r="8" ht="22.35" customHeight="1" s="23">
      <c r="A8" s="40" t="inlineStr">
        <is>
          <t>Navi 31 MCD (2022, 6nm)</t>
        </is>
      </c>
      <c r="B8" s="40" t="inlineStr">
        <is>
          <t>16 MB L3 cache</t>
        </is>
      </c>
      <c r="C8" s="40" t="inlineStr">
        <is>
          <t>share of die transistors</t>
        </is>
      </c>
      <c r="D8" s="40" t="inlineStr">
        <is>
          <t>~39% (6T est.)</t>
        </is>
      </c>
      <c r="E8" s="40" t="inlineStr">
        <is>
          <t>RDNA3 Wikipedia / 6T</t>
        </is>
      </c>
      <c r="F8" s="40" t="inlineStr">
        <is>
          <t>Each 2.05 B-tr memory die = L3 + GDDR6 PHY</t>
        </is>
      </c>
    </row>
    <row r="9" ht="15" customHeight="1" s="23">
      <c r="A9" s="40" t="inlineStr">
        <is>
          <t>NVIDIA H100 (2022, 4N)</t>
        </is>
      </c>
      <c r="B9" s="40" t="inlineStr">
        <is>
          <t>L2 only (50 MB)</t>
        </is>
      </c>
      <c r="C9" s="40" t="inlineStr">
        <is>
          <t>share of transistors</t>
        </is>
      </c>
      <c r="D9" s="40" t="inlineStr">
        <is>
          <t>~3% (6T est.)</t>
        </is>
      </c>
      <c r="E9" s="40" t="inlineStr">
        <is>
          <t>6T model</t>
        </is>
      </c>
      <c r="F9" s="40" t="inlineStr">
        <is>
          <t>Compute logic dominates</t>
        </is>
      </c>
    </row>
    <row r="10" ht="15" customHeight="1" s="23">
      <c r="A10" s="40" t="inlineStr">
        <is>
          <t>NVIDIA H100 (2022)</t>
        </is>
      </c>
      <c r="B10" s="40" t="inlineStr">
        <is>
          <t>All on-chip SRAM (L2+L1+RF)</t>
        </is>
      </c>
      <c r="C10" s="40" t="inlineStr">
        <is>
          <t>share of transistors</t>
        </is>
      </c>
      <c r="D10" s="40" t="inlineStr">
        <is>
          <t>~7% (6T est.)</t>
        </is>
      </c>
      <c r="E10" s="40" t="inlineStr">
        <is>
          <t>6T model</t>
        </is>
      </c>
      <c r="F10" s="40" t="inlineStr">
        <is>
          <t>50 MB L2 + 132 SM x (256 KB RF + 192 KB L1)</t>
        </is>
      </c>
    </row>
    <row r="11" ht="15" customHeight="1" s="23">
      <c r="A11" s="40" t="inlineStr">
        <is>
          <t>NVIDIA Ada AD102 (2022)</t>
        </is>
      </c>
      <c r="B11" s="40" t="inlineStr">
        <is>
          <t>L2 (96 MB full)</t>
        </is>
      </c>
      <c r="C11" s="40" t="inlineStr">
        <is>
          <t>share of transistors</t>
        </is>
      </c>
      <c r="D11" s="40" t="inlineStr">
        <is>
          <t>~6% (6T est.)</t>
        </is>
      </c>
      <c r="E11" s="40" t="inlineStr">
        <is>
          <t>6T model</t>
        </is>
      </c>
      <c r="F11" s="40" t="inlineStr">
        <is>
          <t>Even huge L2 is a small transistor share</t>
        </is>
      </c>
    </row>
    <row r="12" ht="15" customHeight="1" s="23">
      <c r="A12" s="40" t="inlineStr">
        <is>
          <t>General GPU (Kanter 2020)</t>
        </is>
      </c>
      <c r="B12" s="40" t="inlineStr">
        <is>
          <t>Logic vs SRAM density</t>
        </is>
      </c>
      <c r="C12" s="40" t="inlineStr">
        <is>
          <t>density ratio</t>
        </is>
      </c>
      <c r="D12" s="40" t="inlineStr">
        <is>
          <t>~3-5x</t>
        </is>
      </c>
      <c r="E12" s="40" t="inlineStr">
        <is>
          <t>Kanter, RWT 2020</t>
        </is>
      </c>
      <c r="F12" s="40" t="inlineStr">
        <is>
          <t>Same density physics as CPUs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22" min="1" max="1"/>
  </cols>
  <sheetData>
    <row r="1" ht="17.35" customHeight="1" s="23">
      <c r="A1" s="24" t="inlineStr">
        <is>
          <t>Methodology, caveats &amp; sources</t>
        </is>
      </c>
    </row>
    <row r="3" ht="15" customHeight="1" s="23">
      <c r="A3" s="41" t="n"/>
    </row>
    <row r="4" ht="15" customHeight="1" s="23">
      <c r="A4" s="41" t="inlineStr">
        <is>
          <t>HEADLINE FINDING (GPU vs CPU):</t>
        </is>
      </c>
    </row>
    <row r="5" ht="15" customHeight="1" s="23">
      <c r="A5" s="41" t="inlineStr">
        <is>
          <t>- CPU transistor budgets are CACHE-dominated (last-level cache ~30-80% of transistors in modern parts).</t>
        </is>
      </c>
    </row>
    <row r="6" ht="23.85" customHeight="1" s="23">
      <c r="A6" s="41" t="inlineStr">
        <is>
          <t>- GPU transistor budgets are LOGIC/COMPUTE-dominated. The last-level cache is a small share: ~1-5% for NVIDIA across every generation, even with 50-96 MB L2.</t>
        </is>
      </c>
    </row>
    <row r="7" ht="23.85" customHeight="1" s="23">
      <c r="A7" s="41" t="inlineStr">
        <is>
          <t>- The big exception is AMD's RDNA2 'Infinity Cache' bet: ~24% of Navi 21's transistors (6T est.) went to a 128 MB L3 to feed a narrow memory bus. RDNA3 pulled that back to ~8% and spent transistors on compute instead.</t>
        </is>
      </c>
    </row>
    <row r="8" ht="23.85" customHeight="1" s="23">
      <c r="A8" s="41" t="inlineStr">
        <is>
          <t>- Counting ALL on-chip SRAM (L2 + L1/shared + register files) raises the modern GPU figure to only ~7% - compute ALUs, fixed-function (RT/Tensor/ROP/TMU) and I/O (HBM/GDDR PHYs, NVLink) still dominate.</t>
        </is>
      </c>
    </row>
    <row r="9" ht="15" customHeight="1" s="23">
      <c r="A9" s="41" t="n"/>
    </row>
    <row r="10" ht="15" customHeight="1" s="23">
      <c r="A10" s="41" t="inlineStr">
        <is>
          <t>THE 6T MODEL (Sheet 2):</t>
        </is>
      </c>
    </row>
    <row r="11" ht="15" customHeight="1" s="23">
      <c r="A11" s="41" t="inlineStr">
        <is>
          <t>- LLC transistors = cache_KB x 1024 x 8 (bits) x 6 (transistors per 6T SRAM cell). Data-array lower bound (tags/control add ~10-15%).</t>
        </is>
      </c>
    </row>
    <row r="12" ht="23.85" customHeight="1" s="23">
      <c r="A12" s="41" t="inlineStr">
        <is>
          <t>- Counts only the last-level cache so it is directly comparable to the CPU workbook's cache column. Register files and L1/shared are excluded (they are not reported as 'cache' and vary per SM/CU).</t>
        </is>
      </c>
    </row>
    <row r="13" ht="15" customHeight="1" s="23">
      <c r="A13" s="41" t="inlineStr">
        <is>
          <t>- Pre-2010 GPUs (pre-Fermi / pre-GCN) had only small texture/vertex caches, not a general LLC, so they are left blank.</t>
        </is>
      </c>
    </row>
    <row r="14" ht="15" customHeight="1" s="23">
      <c r="A14" s="41" t="n"/>
    </row>
    <row r="15" ht="15" customHeight="1" s="23">
      <c r="A15" s="42" t="inlineStr">
        <is>
          <t>VENDOR / STRUCTURE NOTES:</t>
        </is>
      </c>
    </row>
    <row r="16" ht="15" customHeight="1" s="23">
      <c r="A16" s="41" t="inlineStr">
        <is>
          <t>- LLC column = L2 for NVIDIA and Intel; Infinity Cache (L3) for AMD RDNA2+ (with a small L2 alongside).</t>
        </is>
      </c>
    </row>
    <row r="17" ht="23.85" customHeight="1" s="23">
      <c r="A17" s="41" t="inlineStr">
        <is>
          <t>- Chiplet / multi-die parts: AMD Navi 31 (1 GCD + 6 MCDs) and NVIDIA B200 (2x GB100) are package totals; per-die figures differ (e.g. each Navi 31 MCD = 2.05 B-tr, 16 MB L3).</t>
        </is>
      </c>
    </row>
    <row r="18" ht="15" customHeight="1" s="23">
      <c r="A18" s="41" t="inlineStr">
        <is>
          <t>- Estimated (yellow) counts: AMD Navi 48 (RX 9070 XT), Intel Arc B580.</t>
        </is>
      </c>
    </row>
    <row r="19" ht="15" customHeight="1" s="23">
      <c r="A19" s="41" t="inlineStr">
        <is>
          <t>- Unlike Intel CPUs, GPU vendors have generally continued to publish official transistor counts.</t>
        </is>
      </c>
    </row>
    <row r="20" ht="15" customHeight="1" s="23">
      <c r="A20" s="41" t="n"/>
    </row>
    <row r="21" ht="15" customHeight="1" s="23">
      <c r="A21" s="42" t="inlineStr">
        <is>
          <t>SOURCES:</t>
        </is>
      </c>
    </row>
    <row r="22" ht="23.85" customHeight="1" s="23">
      <c r="A22" s="41" t="inlineStr">
        <is>
          <t>- D. Kanter, 'Transistor Count: A Flawed Metric', Real World Tech, 2020 (incl. GPU density table): https://www.realworldtech.com/transistor-count-flawed-metric/</t>
        </is>
      </c>
    </row>
    <row r="23" ht="15" customHeight="1" s="23">
      <c r="A23" s="41" t="inlineStr">
        <is>
          <t>- Transistor count (Wikipedia): https://en.wikipedia.org/wiki/Transistor_count</t>
        </is>
      </c>
    </row>
    <row r="24" ht="15" customHeight="1" s="23">
      <c r="A24" s="41" t="inlineStr">
        <is>
          <t>- List of NVIDIA GPUs: https://en.wikipedia.org/wiki/List_of_Nvidia_graphics_processing_units</t>
        </is>
      </c>
    </row>
    <row r="25" ht="15" customHeight="1" s="23">
      <c r="A25" s="41" t="inlineStr">
        <is>
          <t>- List of AMD GPUs: https://en.wikipedia.org/wiki/List_of_AMD_graphics_processing_units</t>
        </is>
      </c>
    </row>
    <row r="26" ht="15" customHeight="1" s="23">
      <c r="A26" s="41" t="inlineStr">
        <is>
          <t>- Blackwell architecture (208 B, dual-die, 192 MB L2): https://en.wikipedia.org/wiki/Blackwell_(microarchitecture)</t>
        </is>
      </c>
    </row>
    <row r="27" ht="23.85" customHeight="1" s="23">
      <c r="A27" s="41" t="inlineStr">
        <is>
          <t>- GB202 die size / 92.2 B: https://videocardz.com/newz/nvidia-reveals-die-sizes-for-gb200-blackwell-gpus-gb202-is-750mm%C2%B2-features-92-2b-transistors</t>
        </is>
      </c>
    </row>
    <row r="28" ht="23.85" customHeight="1" s="23">
      <c r="A28" s="41" t="inlineStr">
        <is>
          <t>- RDNA 3 / Navi 31 chiplet + cache: https://en.wikipedia.org/wiki/RDNA_3  and  https://www.tomshardware.com/news/amd-rdna-3-gpu-architecture-deep-dive-the-ryzen-moment-for-gpus</t>
        </is>
      </c>
    </row>
    <row r="29" ht="15" customHeight="1" s="23">
      <c r="A29" s="41" t="inlineStr">
        <is>
          <t>- Navi 21 Infinity Cache area share (~17%): https://www.tomshardware.com/news/amd-big_navi-rdna2-all-we-know</t>
        </is>
      </c>
    </row>
    <row r="30" ht="15" customHeight="1" s="23">
      <c r="A30" s="41" t="inlineStr">
        <is>
          <t>- Navi 21 specs: https://www.techpowerup.com/gpu-specs/amd-navi-21.g923</t>
        </is>
      </c>
    </row>
    <row r="31" ht="15" customHeight="1" s="23">
      <c r="A31" s="41" t="inlineStr">
        <is>
          <t>- TechPowerUp GPU database (per-die counts, die sizes, L2): https://www.techpowerup.com/gpu-specs/</t>
        </is>
      </c>
    </row>
    <row r="32" ht="15" customHeight="1" s="23">
      <c r="A32" s="41" t="n"/>
    </row>
    <row r="33" ht="15" customHeight="1" s="23">
      <c r="A33" s="41" t="inlineStr">
        <is>
          <t>Compiled June 2026. Best-available public data; treat estimated (yellow) cells accordingly.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7.35" customHeight="1" s="23">
      <c r="A1" s="24" t="inlineStr">
        <is>
          <t>Charts</t>
        </is>
      </c>
    </row>
    <row r="3" ht="15" customHeight="1" s="23">
      <c r="A3" s="43" t="inlineStr">
        <is>
          <t>NV Year</t>
        </is>
      </c>
      <c r="B3" s="43" t="inlineStr">
        <is>
          <t>NV Mtr</t>
        </is>
      </c>
      <c r="D3" s="43" t="inlineStr">
        <is>
          <t>AMD Year</t>
        </is>
      </c>
      <c r="E3" s="43" t="inlineStr">
        <is>
          <t>AMD Mtr</t>
        </is>
      </c>
      <c r="G3" s="43" t="inlineStr">
        <is>
          <t>Intel Year</t>
        </is>
      </c>
      <c r="H3" s="43" t="inlineStr">
        <is>
          <t>Intel Mtr</t>
        </is>
      </c>
    </row>
    <row r="4" ht="15" customHeight="1" s="23">
      <c r="A4" s="22" t="n">
        <v>1999</v>
      </c>
      <c r="B4" s="22" t="n">
        <v>23</v>
      </c>
      <c r="D4" s="22" t="n">
        <v>2000</v>
      </c>
      <c r="E4" s="22" t="n">
        <v>30</v>
      </c>
      <c r="G4" s="22" t="n">
        <v>2022</v>
      </c>
      <c r="H4" s="22" t="n">
        <v>21700</v>
      </c>
    </row>
    <row r="5" ht="15" customHeight="1" s="23">
      <c r="A5" s="22" t="n">
        <v>2001</v>
      </c>
      <c r="B5" s="22" t="n">
        <v>57</v>
      </c>
      <c r="D5" s="22" t="n">
        <v>2002</v>
      </c>
      <c r="E5" s="22" t="n">
        <v>107</v>
      </c>
      <c r="G5" s="22" t="n">
        <v>2024</v>
      </c>
      <c r="H5" s="22" t="n">
        <v>19600</v>
      </c>
    </row>
    <row r="6" ht="15" customHeight="1" s="23">
      <c r="A6" s="22" t="n">
        <v>2003</v>
      </c>
      <c r="B6" s="22" t="n">
        <v>125</v>
      </c>
      <c r="D6" s="22" t="n">
        <v>2006</v>
      </c>
      <c r="E6" s="22" t="n">
        <v>384</v>
      </c>
    </row>
    <row r="7" ht="15" customHeight="1" s="23">
      <c r="A7" s="22" t="n">
        <v>2004</v>
      </c>
      <c r="B7" s="22" t="n">
        <v>222</v>
      </c>
      <c r="D7" s="22" t="n">
        <v>2007</v>
      </c>
      <c r="E7" s="22" t="n">
        <v>700</v>
      </c>
    </row>
    <row r="8" ht="15" customHeight="1" s="23">
      <c r="A8" s="22" t="n">
        <v>2005</v>
      </c>
      <c r="B8" s="22" t="n">
        <v>302</v>
      </c>
      <c r="D8" s="22" t="n">
        <v>2008</v>
      </c>
      <c r="E8" s="22" t="n">
        <v>956</v>
      </c>
    </row>
    <row r="9" ht="15" customHeight="1" s="23">
      <c r="A9" s="22" t="n">
        <v>2006</v>
      </c>
      <c r="B9" s="22" t="n">
        <v>681</v>
      </c>
      <c r="D9" s="22" t="n">
        <v>2009</v>
      </c>
      <c r="E9" s="22" t="n">
        <v>2154</v>
      </c>
    </row>
    <row r="10" ht="15" customHeight="1" s="23">
      <c r="A10" s="22" t="n">
        <v>2008</v>
      </c>
      <c r="B10" s="22" t="n">
        <v>1400</v>
      </c>
      <c r="D10" s="22" t="n">
        <v>2011</v>
      </c>
      <c r="E10" s="22" t="n">
        <v>4313</v>
      </c>
    </row>
    <row r="11" ht="15" customHeight="1" s="23">
      <c r="A11" s="22" t="n">
        <v>2010</v>
      </c>
      <c r="B11" s="22" t="n">
        <v>3000</v>
      </c>
      <c r="D11" s="22" t="n">
        <v>2013</v>
      </c>
      <c r="E11" s="22" t="n">
        <v>6200</v>
      </c>
    </row>
    <row r="12" ht="15" customHeight="1" s="23">
      <c r="A12" s="22" t="n">
        <v>2012</v>
      </c>
      <c r="B12" s="22" t="n">
        <v>3540</v>
      </c>
      <c r="D12" s="22" t="n">
        <v>2015</v>
      </c>
      <c r="E12" s="22" t="n">
        <v>8900</v>
      </c>
    </row>
    <row r="13" ht="15" customHeight="1" s="23">
      <c r="A13" s="22" t="n">
        <v>2013</v>
      </c>
      <c r="B13" s="22" t="n">
        <v>7080</v>
      </c>
      <c r="D13" s="22" t="n">
        <v>2016</v>
      </c>
      <c r="E13" s="22" t="n">
        <v>5700</v>
      </c>
    </row>
    <row r="14" ht="15" customHeight="1" s="23">
      <c r="A14" s="22" t="n">
        <v>2015</v>
      </c>
      <c r="B14" s="22" t="n">
        <v>8000</v>
      </c>
      <c r="D14" s="22" t="n">
        <v>2017</v>
      </c>
      <c r="E14" s="22" t="n">
        <v>12500</v>
      </c>
    </row>
    <row r="15" ht="15" customHeight="1" s="23">
      <c r="A15" s="22" t="n">
        <v>2017</v>
      </c>
      <c r="B15" s="22" t="n">
        <v>11800</v>
      </c>
      <c r="D15" s="22" t="n">
        <v>2019</v>
      </c>
      <c r="E15" s="22" t="n">
        <v>10300</v>
      </c>
    </row>
    <row r="16" ht="15" customHeight="1" s="23">
      <c r="A16" s="22" t="n">
        <v>2017</v>
      </c>
      <c r="B16" s="22" t="n">
        <v>21100</v>
      </c>
      <c r="D16" s="22" t="n">
        <v>2020</v>
      </c>
      <c r="E16" s="22" t="n">
        <v>26800</v>
      </c>
    </row>
    <row r="17" ht="15" customHeight="1" s="23">
      <c r="A17" s="22" t="n">
        <v>2018</v>
      </c>
      <c r="B17" s="22" t="n">
        <v>18600</v>
      </c>
      <c r="D17" s="22" t="n">
        <v>2022</v>
      </c>
      <c r="E17" s="22" t="n">
        <v>57700</v>
      </c>
    </row>
    <row r="18" ht="15" customHeight="1" s="23">
      <c r="A18" s="22" t="n">
        <v>2020</v>
      </c>
      <c r="B18" s="22" t="n">
        <v>28300</v>
      </c>
      <c r="D18" s="22" t="n">
        <v>2025</v>
      </c>
      <c r="E18" s="22" t="n">
        <v>53900</v>
      </c>
    </row>
    <row r="19" ht="15" customHeight="1" s="23">
      <c r="A19" s="22" t="n">
        <v>2020</v>
      </c>
      <c r="B19" s="22" t="n">
        <v>54200</v>
      </c>
    </row>
    <row r="20" ht="15" customHeight="1" s="23">
      <c r="A20" s="22" t="n">
        <v>2022</v>
      </c>
      <c r="B20" s="22" t="n">
        <v>76300</v>
      </c>
    </row>
    <row r="21" ht="15" customHeight="1" s="23">
      <c r="A21" s="22" t="n">
        <v>2022</v>
      </c>
      <c r="B21" s="22" t="n">
        <v>80000</v>
      </c>
    </row>
    <row r="22" ht="15" customHeight="1" s="23">
      <c r="A22" s="22" t="n">
        <v>2025</v>
      </c>
      <c r="B22" s="22" t="n">
        <v>92200</v>
      </c>
    </row>
    <row r="23" ht="15" customHeight="1" s="23">
      <c r="A23" s="22" t="n">
        <v>2024</v>
      </c>
      <c r="B23" s="22" t="n">
        <v>208000</v>
      </c>
    </row>
    <row r="24" ht="15" customHeight="1" s="23">
      <c r="A24" s="43" t="inlineStr">
        <is>
          <t>NV Year</t>
        </is>
      </c>
      <c r="B24" s="43" t="inlineStr">
        <is>
          <t>NV LLC share</t>
        </is>
      </c>
      <c r="D24" s="43" t="inlineStr">
        <is>
          <t>AMD Year</t>
        </is>
      </c>
      <c r="E24" s="43" t="inlineStr">
        <is>
          <t>AMD LLC share</t>
        </is>
      </c>
    </row>
    <row r="25" ht="15" customHeight="1" s="23">
      <c r="A25" s="22" t="n">
        <v>2010</v>
      </c>
      <c r="B25" s="44" t="n">
        <v>0.0126</v>
      </c>
      <c r="D25" s="22" t="n">
        <v>2009</v>
      </c>
      <c r="E25" s="44" t="n">
        <v>0.0117</v>
      </c>
    </row>
    <row r="26" ht="15" customHeight="1" s="23">
      <c r="A26" s="22" t="n">
        <v>2012</v>
      </c>
      <c r="B26" s="44" t="n">
        <v>0.0071</v>
      </c>
      <c r="D26" s="22" t="n">
        <v>2011</v>
      </c>
      <c r="E26" s="44" t="n">
        <v>0.008800000000000001</v>
      </c>
    </row>
    <row r="27" ht="15" customHeight="1" s="23">
      <c r="A27" s="22" t="n">
        <v>2013</v>
      </c>
      <c r="B27" s="44" t="n">
        <v>0.0107</v>
      </c>
      <c r="D27" s="22" t="n">
        <v>2013</v>
      </c>
      <c r="E27" s="44" t="n">
        <v>0.0081</v>
      </c>
    </row>
    <row r="28" ht="15" customHeight="1" s="23">
      <c r="A28" s="22" t="n">
        <v>2015</v>
      </c>
      <c r="B28" s="44" t="n">
        <v>0.0189</v>
      </c>
      <c r="D28" s="22" t="n">
        <v>2015</v>
      </c>
      <c r="E28" s="44" t="n">
        <v>0.0113</v>
      </c>
    </row>
    <row r="29" ht="15" customHeight="1" s="23">
      <c r="A29" s="22" t="n">
        <v>2017</v>
      </c>
      <c r="B29" s="44" t="n">
        <v>0.0128</v>
      </c>
      <c r="D29" s="22" t="n">
        <v>2016</v>
      </c>
      <c r="E29" s="44" t="n">
        <v>0.0177</v>
      </c>
    </row>
    <row r="30" ht="15" customHeight="1" s="23">
      <c r="A30" s="22" t="n">
        <v>2017</v>
      </c>
      <c r="B30" s="44" t="n">
        <v>0.0143</v>
      </c>
      <c r="D30" s="22" t="n">
        <v>2017</v>
      </c>
      <c r="E30" s="44" t="n">
        <v>0.0161</v>
      </c>
    </row>
    <row r="31" ht="15" customHeight="1" s="23">
      <c r="A31" s="22" t="n">
        <v>2018</v>
      </c>
      <c r="B31" s="44" t="n">
        <v>0.0162</v>
      </c>
      <c r="D31" s="22" t="n">
        <v>2019</v>
      </c>
      <c r="E31" s="44" t="n">
        <v>0.0195</v>
      </c>
    </row>
    <row r="32" ht="15" customHeight="1" s="23">
      <c r="A32" s="22" t="n">
        <v>2020</v>
      </c>
      <c r="B32" s="44" t="n">
        <v>0.0107</v>
      </c>
      <c r="D32" s="22" t="n">
        <v>2020</v>
      </c>
      <c r="E32" s="44" t="n">
        <v>0.2404</v>
      </c>
    </row>
    <row r="33" ht="15" customHeight="1" s="23">
      <c r="A33" s="22" t="n">
        <v>2020</v>
      </c>
      <c r="B33" s="44" t="n">
        <v>0.0371</v>
      </c>
      <c r="D33" s="22" t="n">
        <v>2022</v>
      </c>
      <c r="E33" s="44" t="n">
        <v>0.0837</v>
      </c>
    </row>
    <row r="34" ht="15" customHeight="1" s="23">
      <c r="A34" s="22" t="n">
        <v>2022</v>
      </c>
      <c r="B34" s="44" t="n">
        <v>0.0475</v>
      </c>
      <c r="D34" s="22" t="n">
        <v>2025</v>
      </c>
      <c r="E34" s="44" t="n">
        <v>0.0598</v>
      </c>
    </row>
    <row r="35" ht="15" customHeight="1" s="23">
      <c r="A35" s="22" t="n">
        <v>2022</v>
      </c>
      <c r="B35" s="44" t="n">
        <v>0.0315</v>
      </c>
    </row>
    <row r="36" ht="15" customHeight="1" s="23">
      <c r="A36" s="22" t="n">
        <v>2025</v>
      </c>
      <c r="B36" s="44" t="n">
        <v>0.0524</v>
      </c>
    </row>
    <row r="37" ht="15" customHeight="1" s="23">
      <c r="A37" s="22" t="n">
        <v>2024</v>
      </c>
      <c r="B37" s="44" t="n">
        <v>0.0465</v>
      </c>
    </row>
    <row r="45" ht="15" customHeight="1" s="23">
      <c r="A45" s="43" t="inlineStr">
        <is>
          <t>Year</t>
        </is>
      </c>
      <c r="B45" s="43" t="inlineStr">
        <is>
          <t>NVIDIA</t>
        </is>
      </c>
      <c r="C45" s="43" t="inlineStr">
        <is>
          <t>AMD</t>
        </is>
      </c>
      <c r="D45" s="43" t="inlineStr">
        <is>
          <t>Intel Arc</t>
        </is>
      </c>
    </row>
    <row r="46" ht="15" customHeight="1" s="23">
      <c r="A46" s="22" t="n">
        <v>1999</v>
      </c>
      <c r="B46" s="22" t="n">
        <v>0.2</v>
      </c>
    </row>
    <row r="47" ht="15" customHeight="1" s="23">
      <c r="A47" s="22" t="n">
        <v>2001</v>
      </c>
      <c r="B47" s="22" t="n">
        <v>0.4</v>
      </c>
    </row>
    <row r="48" ht="15" customHeight="1" s="23">
      <c r="A48" s="22" t="n">
        <v>2002</v>
      </c>
      <c r="C48" s="22" t="n">
        <v>0.5</v>
      </c>
    </row>
    <row r="49" ht="15" customHeight="1" s="23">
      <c r="A49" s="22" t="n">
        <v>2003</v>
      </c>
      <c r="B49" s="22" t="n">
        <v>0.6</v>
      </c>
    </row>
    <row r="50" ht="15" customHeight="1" s="23">
      <c r="A50" s="22" t="n">
        <v>2004</v>
      </c>
      <c r="B50" s="22" t="n">
        <v>0.8</v>
      </c>
    </row>
    <row r="51" ht="15" customHeight="1" s="23">
      <c r="A51" s="22" t="n">
        <v>2005</v>
      </c>
      <c r="B51" s="22" t="n">
        <v>0.9</v>
      </c>
    </row>
    <row r="52" ht="15" customHeight="1" s="23">
      <c r="A52" s="22" t="n">
        <v>2006</v>
      </c>
      <c r="B52" s="22" t="n">
        <v>1.4</v>
      </c>
    </row>
    <row r="53" ht="15" customHeight="1" s="23">
      <c r="A53" s="22" t="n">
        <v>2006</v>
      </c>
      <c r="C53" s="22" t="n">
        <v>1.1</v>
      </c>
    </row>
    <row r="54" ht="15" customHeight="1" s="23">
      <c r="A54" s="22" t="n">
        <v>2007</v>
      </c>
      <c r="C54" s="22" t="n">
        <v>1.7</v>
      </c>
    </row>
    <row r="55" ht="15" customHeight="1" s="23">
      <c r="A55" s="22" t="n">
        <v>2008</v>
      </c>
      <c r="B55" s="22" t="n">
        <v>2.4</v>
      </c>
    </row>
    <row r="56" ht="15" customHeight="1" s="23">
      <c r="A56" s="22" t="n">
        <v>2008</v>
      </c>
      <c r="C56" s="22" t="n">
        <v>3.7</v>
      </c>
    </row>
    <row r="57" ht="15" customHeight="1" s="23">
      <c r="A57" s="22" t="n">
        <v>2009</v>
      </c>
      <c r="C57" s="22" t="n">
        <v>6.4</v>
      </c>
    </row>
    <row r="58" ht="15" customHeight="1" s="23">
      <c r="A58" s="22" t="n">
        <v>2010</v>
      </c>
      <c r="B58" s="22" t="n">
        <v>5.7</v>
      </c>
    </row>
    <row r="59" ht="15" customHeight="1" s="23">
      <c r="A59" s="22" t="n">
        <v>2011</v>
      </c>
      <c r="C59" s="22" t="n">
        <v>12.3</v>
      </c>
    </row>
    <row r="60" ht="15" customHeight="1" s="23">
      <c r="A60" s="22" t="n">
        <v>2012</v>
      </c>
      <c r="B60" s="22" t="n">
        <v>12</v>
      </c>
    </row>
    <row r="61" ht="15" customHeight="1" s="23">
      <c r="A61" s="22" t="n">
        <v>2013</v>
      </c>
      <c r="B61" s="22" t="n">
        <v>12.6</v>
      </c>
    </row>
    <row r="62" ht="15" customHeight="1" s="23">
      <c r="A62" s="22" t="n">
        <v>2013</v>
      </c>
      <c r="C62" s="22" t="n">
        <v>14.2</v>
      </c>
    </row>
    <row r="63" ht="15" customHeight="1" s="23">
      <c r="A63" s="22" t="n">
        <v>2015</v>
      </c>
      <c r="B63" s="22" t="n">
        <v>13.3</v>
      </c>
    </row>
    <row r="64" ht="15" customHeight="1" s="23">
      <c r="A64" s="22" t="n">
        <v>2015</v>
      </c>
      <c r="C64" s="22" t="n">
        <v>14.9</v>
      </c>
    </row>
    <row r="65" ht="15" customHeight="1" s="23">
      <c r="A65" s="22" t="n">
        <v>2016</v>
      </c>
      <c r="C65" s="22" t="n">
        <v>24.6</v>
      </c>
    </row>
    <row r="66" ht="15" customHeight="1" s="23">
      <c r="A66" s="22" t="n">
        <v>2017</v>
      </c>
      <c r="B66" s="22" t="n">
        <v>25.1</v>
      </c>
    </row>
    <row r="67" ht="15" customHeight="1" s="23">
      <c r="A67" s="22" t="n">
        <v>2017</v>
      </c>
      <c r="B67" s="22" t="n">
        <v>25.9</v>
      </c>
    </row>
    <row r="68" ht="15" customHeight="1" s="23">
      <c r="A68" s="22" t="n">
        <v>2017</v>
      </c>
      <c r="C68" s="22" t="n">
        <v>25.3</v>
      </c>
    </row>
    <row r="69" ht="15" customHeight="1" s="23">
      <c r="A69" s="22" t="n">
        <v>2018</v>
      </c>
      <c r="B69" s="22" t="n">
        <v>24.7</v>
      </c>
    </row>
    <row r="70" ht="15" customHeight="1" s="23">
      <c r="A70" s="22" t="n">
        <v>2019</v>
      </c>
      <c r="C70" s="22" t="n">
        <v>41</v>
      </c>
    </row>
    <row r="71" ht="15" customHeight="1" s="23">
      <c r="A71" s="22" t="n">
        <v>2020</v>
      </c>
      <c r="B71" s="22" t="n">
        <v>45.1</v>
      </c>
    </row>
    <row r="72" ht="15" customHeight="1" s="23">
      <c r="A72" s="22" t="n">
        <v>2020</v>
      </c>
      <c r="B72" s="22" t="n">
        <v>65.59999999999999</v>
      </c>
    </row>
    <row r="73" ht="15" customHeight="1" s="23">
      <c r="A73" s="22" t="n">
        <v>2020</v>
      </c>
      <c r="C73" s="22" t="n">
        <v>51.5</v>
      </c>
    </row>
    <row r="74" ht="15" customHeight="1" s="23">
      <c r="A74" s="22" t="n">
        <v>2022</v>
      </c>
      <c r="B74" s="22" t="n">
        <v>125.5</v>
      </c>
    </row>
    <row r="75" ht="15" customHeight="1" s="23">
      <c r="A75" s="22" t="n">
        <v>2022</v>
      </c>
      <c r="B75" s="22" t="n">
        <v>98.3</v>
      </c>
    </row>
    <row r="76" ht="15" customHeight="1" s="23">
      <c r="A76" s="22" t="n">
        <v>2022</v>
      </c>
      <c r="C76" s="22" t="n">
        <v>109.1</v>
      </c>
    </row>
    <row r="77" ht="15" customHeight="1" s="23">
      <c r="A77" s="22" t="n">
        <v>2022</v>
      </c>
      <c r="D77" s="22" t="n">
        <v>53.4</v>
      </c>
    </row>
    <row r="78" ht="15" customHeight="1" s="23">
      <c r="A78" s="22" t="n">
        <v>2024</v>
      </c>
      <c r="B78" s="22" t="n">
        <v>130</v>
      </c>
    </row>
    <row r="79" ht="15" customHeight="1" s="23">
      <c r="A79" s="22" t="n">
        <v>2024</v>
      </c>
      <c r="D79" s="22" t="n">
        <v>72.09999999999999</v>
      </c>
    </row>
    <row r="80" ht="15" customHeight="1" s="23">
      <c r="A80" s="22" t="n">
        <v>2025</v>
      </c>
      <c r="B80" s="22" t="n">
        <v>122.9</v>
      </c>
    </row>
    <row r="81" ht="15" customHeight="1" s="23">
      <c r="A81" s="22" t="n">
        <v>2025</v>
      </c>
      <c r="C81" s="22" t="n">
        <v>151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2026-06-22T03:16:02Z</dcterms:created>
  <dcterms:modified xmlns:dcterms="http://purl.org/dc/terms/" xmlns:xsi="http://www.w3.org/2001/XMLSchema-instance" xsi:type="dcterms:W3CDTF">2026-06-22T03:55:28Z</dcterms:modified>
  <cp:revision>1</cp:revision>
</cp:coreProperties>
</file>